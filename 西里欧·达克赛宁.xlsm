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99F03F65-6EE5-B2FF-AC1D-F4DDD12603F5}"/>
  <workbookPr codeName="ThisWorkbook"/>
  <mc:AlternateContent xmlns:mc="http://schemas.openxmlformats.org/markup-compatibility/2006">
    <mc:Choice Requires="x15">
      <x15ac:absPath xmlns:x15ac="http://schemas.microsoft.com/office/spreadsheetml/2010/11/ac" url="D:\新建文件夹\"/>
    </mc:Choice>
  </mc:AlternateContent>
  <xr:revisionPtr revIDLastSave="0" documentId="13_ncr:1_{F0DB5E52-8F87-4A5F-8EF9-0D45D3821530}" xr6:coauthVersionLast="43" xr6:coauthVersionMax="43" xr10:uidLastSave="{00000000-0000-0000-0000-000000000000}"/>
  <bookViews>
    <workbookView xWindow="-108" yWindow="-108" windowWidth="23256" windowHeight="12576" tabRatio="601" activeTab="1" xr2:uid="{00000000-000D-0000-FFFF-FFFF00000000}"/>
  </bookViews>
  <sheets>
    <sheet name="建卡" sheetId="13" r:id="rId1"/>
    <sheet name="人物卡" sheetId="1" r:id="rId2"/>
    <sheet name="技能专攻" sheetId="2" r:id="rId3"/>
    <sheet name="职业列表" sheetId="7" r:id="rId4"/>
    <sheet name="资产对照表" sheetId="12" r:id="rId5"/>
    <sheet name="掷骰" sheetId="14" r:id="rId6"/>
    <sheet name="txt输出" sheetId="10" r:id="rId7"/>
    <sheet name="附表" sheetId="8" state="hidden" r:id="rId8"/>
  </sheets>
  <externalReferences>
    <externalReference r:id="rId9"/>
  </externalReferences>
  <definedNames>
    <definedName name="_xlnm._FilterDatabase" localSheetId="6" hidden="1">txt输出!$B$1:$B$103</definedName>
    <definedName name="_xlnm._FilterDatabase" localSheetId="3" hidden="1">职业列表!$A$1:$F$116</definedName>
    <definedName name="Age">人物卡!$D$6</definedName>
    <definedName name="APP" localSheetId="5">[1]人物卡!$X$5</definedName>
    <definedName name="APP">人物卡!$X$5</definedName>
    <definedName name="Assets">人物卡!$B$50</definedName>
    <definedName name="backstory">人物卡!$W$48</definedName>
    <definedName name="Build" localSheetId="5">[1]人物卡!$AN$41</definedName>
    <definedName name="Build">人物卡!$AN$41</definedName>
    <definedName name="CON" localSheetId="5">[1]人物卡!$R$5</definedName>
    <definedName name="CON">人物卡!$R$5</definedName>
    <definedName name="CR" localSheetId="5">[1]人物卡!$H$24+[1]人物卡!$J$24</definedName>
    <definedName name="CR">人物卡!$H$26+人物卡!$J$26</definedName>
    <definedName name="DB" localSheetId="5">[1]人物卡!$AN$39</definedName>
    <definedName name="DB">人物卡!$AN$39</definedName>
    <definedName name="DEX" localSheetId="5">[1]人物卡!$X$3</definedName>
    <definedName name="DEX">人物卡!$X$3</definedName>
    <definedName name="Dodge" localSheetId="5">[1]人物卡!$AN$43</definedName>
    <definedName name="Dodge">人物卡!$AN$43</definedName>
    <definedName name="EDU" localSheetId="5">[1]人物卡!$X$7</definedName>
    <definedName name="EDU">人物卡!$X$7</definedName>
    <definedName name="Gear">人物卡!$B$56</definedName>
    <definedName name="HP" localSheetId="5">[1]人物卡!$E$10</definedName>
    <definedName name="HP">人物卡!$E$10</definedName>
    <definedName name="HPmax" localSheetId="5">[1]人物卡!$H$10</definedName>
    <definedName name="HPmax">人物卡!$H$10</definedName>
    <definedName name="INT" localSheetId="5">[1]人物卡!$AD$3</definedName>
    <definedName name="INT">人物卡!$AD$3</definedName>
    <definedName name="Luck" localSheetId="5">[1]人物卡!$W$10</definedName>
    <definedName name="Luck">人物卡!$W$10</definedName>
    <definedName name="MOV" localSheetId="5">[1]人物卡!$AD$7</definedName>
    <definedName name="MOV">人物卡!$AD$7</definedName>
    <definedName name="MOV_main" localSheetId="5">[1]附表!$F$23</definedName>
    <definedName name="MOV_main">附表!$F$23</definedName>
    <definedName name="MP" localSheetId="5">[1]人物卡!$AD$10</definedName>
    <definedName name="MP">人物卡!$AD$10</definedName>
    <definedName name="MPmax" localSheetId="5">[1]人物卡!$AF$10</definedName>
    <definedName name="MPmax">人物卡!$AF$10</definedName>
    <definedName name="OccNo" localSheetId="5">[1]建卡!$E$38</definedName>
    <definedName name="OccNo">建卡!$E$38</definedName>
    <definedName name="POW" localSheetId="5">[1]人物卡!$AD$5</definedName>
    <definedName name="POW">人物卡!$AD$5</definedName>
    <definedName name="SAN" localSheetId="5">[1]人物卡!$N$10</definedName>
    <definedName name="SAN">人物卡!$N$10</definedName>
    <definedName name="SANmax" localSheetId="5">[1]人物卡!$Q$10</definedName>
    <definedName name="SANmax">人物卡!$Q$10</definedName>
    <definedName name="SIZ" localSheetId="5">[1]人物卡!$R$7</definedName>
    <definedName name="SIZ">人物卡!$R$7</definedName>
    <definedName name="STR" localSheetId="5">[1]人物卡!$R$3</definedName>
    <definedName name="STR">人物卡!$R$3</definedName>
    <definedName name="Talents1">[1]建卡!$G$31</definedName>
    <definedName name="Talents2">[1]建卡!$G$32</definedName>
    <definedName name="Talents3">[1]建卡!$G$33</definedName>
    <definedName name="Talents4">[1]建卡!$G$34</definedName>
    <definedName name="weapon" localSheetId="5">[1]人物卡!$B$41</definedName>
    <definedName name="weapon">人物卡!$B$41</definedName>
    <definedName name="精神天赋">[1]英雄天赋!$C$17:$C$26</definedName>
    <definedName name="其他天赋">[1]英雄天赋!$C$43:$C$52</definedName>
    <definedName name="肉体天赋">[1]英雄天赋!$C$4:$C$13</definedName>
    <definedName name="战斗天赋">[1]英雄天赋!$C$30:$C$39</definedName>
  </definedNames>
  <calcPr calcId="18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17" i="1" l="1"/>
  <c r="D7" i="1"/>
  <c r="B13" i="10" l="1"/>
  <c r="B12" i="10"/>
  <c r="B11" i="10"/>
  <c r="T4" i="14" l="1"/>
  <c r="Q4" i="14"/>
  <c r="N4" i="14"/>
  <c r="K4" i="14"/>
  <c r="H4" i="14"/>
  <c r="E4" i="14"/>
  <c r="B4" i="14"/>
  <c r="X63" i="13" l="1"/>
  <c r="AK32" i="13" l="1"/>
  <c r="AK31" i="13"/>
  <c r="AK30" i="13"/>
  <c r="AK29" i="13"/>
  <c r="AK28" i="13"/>
  <c r="AK27" i="13"/>
  <c r="AK26" i="13"/>
  <c r="AK13" i="13"/>
  <c r="AK14" i="13"/>
  <c r="AK15" i="13"/>
  <c r="AK16" i="13"/>
  <c r="AK17" i="13"/>
  <c r="AK18" i="13"/>
  <c r="AK19" i="13"/>
  <c r="AK20" i="13"/>
  <c r="AK21" i="13"/>
  <c r="AK22" i="13"/>
  <c r="AK23" i="13"/>
  <c r="AK24" i="13"/>
  <c r="AK25" i="13"/>
  <c r="AK12" i="13"/>
  <c r="AD19" i="13" l="1"/>
  <c r="AH15" i="13"/>
  <c r="Z19" i="13"/>
  <c r="AH17" i="13"/>
  <c r="AD17" i="13"/>
  <c r="AD15" i="13"/>
  <c r="Z15" i="13"/>
  <c r="Z17" i="13"/>
  <c r="K6" i="1"/>
  <c r="B45" i="13" l="1"/>
  <c r="B2" i="1"/>
  <c r="B102" i="10" l="1"/>
  <c r="B100" i="10"/>
  <c r="B29" i="10"/>
  <c r="B57" i="13" l="1"/>
  <c r="B64" i="13"/>
  <c r="AE33" i="1" l="1"/>
  <c r="AE34" i="1"/>
  <c r="AE35" i="1"/>
  <c r="AE36" i="1"/>
  <c r="AE32" i="1"/>
  <c r="B59" i="10"/>
  <c r="B60" i="10"/>
  <c r="B62" i="10"/>
  <c r="B63" i="10"/>
  <c r="B64" i="10"/>
  <c r="B65" i="10"/>
  <c r="B69" i="10"/>
  <c r="B70" i="10"/>
  <c r="B71" i="10"/>
  <c r="B73" i="10"/>
  <c r="B74" i="10"/>
  <c r="B75" i="10"/>
  <c r="B76" i="10"/>
  <c r="B77" i="10"/>
  <c r="AE16" i="1"/>
  <c r="AD58" i="13"/>
  <c r="AJ16" i="1" s="1"/>
  <c r="AN16" i="1" s="1"/>
  <c r="B58" i="10" s="1"/>
  <c r="B49" i="10"/>
  <c r="B51" i="10"/>
  <c r="B52" i="10"/>
  <c r="B53" i="10"/>
  <c r="B54" i="10"/>
  <c r="B55" i="10"/>
  <c r="B56" i="10"/>
  <c r="Q36" i="1"/>
  <c r="AD57" i="13"/>
  <c r="V36" i="1" s="1"/>
  <c r="Z36" i="1" s="1"/>
  <c r="B57" i="10" s="1"/>
  <c r="Q27" i="1"/>
  <c r="AD48" i="13"/>
  <c r="V27" i="1" s="1"/>
  <c r="Z27" i="1" s="1"/>
  <c r="B48" i="10" s="1"/>
  <c r="Q26" i="1"/>
  <c r="X7" i="1"/>
  <c r="B38" i="10"/>
  <c r="B39" i="10"/>
  <c r="B40" i="10"/>
  <c r="B41" i="10"/>
  <c r="B42" i="10"/>
  <c r="B43" i="10"/>
  <c r="B44" i="10"/>
  <c r="B45" i="10"/>
  <c r="B46" i="10"/>
  <c r="Q16" i="1"/>
  <c r="G69" i="13"/>
  <c r="M69" i="13" s="1"/>
  <c r="B34" i="10"/>
  <c r="B35" i="10"/>
  <c r="C36" i="1"/>
  <c r="M68" i="13"/>
  <c r="O68" i="13" s="1"/>
  <c r="B17" i="10"/>
  <c r="B19" i="10"/>
  <c r="B20" i="10"/>
  <c r="B21" i="10"/>
  <c r="B22" i="10"/>
  <c r="B24" i="10"/>
  <c r="B25" i="10"/>
  <c r="C27" i="1"/>
  <c r="M59" i="13"/>
  <c r="H27" i="1" s="1"/>
  <c r="B30" i="10"/>
  <c r="B31" i="10"/>
  <c r="B32" i="10"/>
  <c r="B16" i="10"/>
  <c r="AD5" i="1"/>
  <c r="X5" i="1"/>
  <c r="X3" i="1"/>
  <c r="R3" i="1"/>
  <c r="B42" i="13"/>
  <c r="AE31" i="1"/>
  <c r="AE17" i="1"/>
  <c r="AE18" i="1"/>
  <c r="AE19" i="1"/>
  <c r="AE20" i="1"/>
  <c r="AE21" i="1"/>
  <c r="AE22" i="1"/>
  <c r="AE23" i="1"/>
  <c r="AE24" i="1"/>
  <c r="AE25" i="1"/>
  <c r="AE26" i="1"/>
  <c r="AE27" i="1"/>
  <c r="AE28" i="1"/>
  <c r="AE29" i="1"/>
  <c r="AE30" i="1"/>
  <c r="Q29" i="1"/>
  <c r="Q30" i="1"/>
  <c r="Q31" i="1"/>
  <c r="Q32" i="1"/>
  <c r="Q33" i="1"/>
  <c r="Q34" i="1"/>
  <c r="Q35" i="1"/>
  <c r="Q17" i="1"/>
  <c r="Q18" i="1"/>
  <c r="Q19" i="1"/>
  <c r="Q20" i="1"/>
  <c r="Q21" i="1"/>
  <c r="Q22" i="1"/>
  <c r="Q23" i="1"/>
  <c r="Q24" i="1"/>
  <c r="Q25" i="1"/>
  <c r="C22" i="1"/>
  <c r="C23" i="1"/>
  <c r="C24" i="1"/>
  <c r="C28" i="1"/>
  <c r="C29" i="1"/>
  <c r="C30" i="1"/>
  <c r="C31" i="1"/>
  <c r="C33" i="1"/>
  <c r="C34" i="1"/>
  <c r="C35" i="1"/>
  <c r="C16" i="1"/>
  <c r="C17" i="1"/>
  <c r="C18" i="1"/>
  <c r="C19" i="1"/>
  <c r="C20" i="1"/>
  <c r="C21" i="1"/>
  <c r="N19" i="13"/>
  <c r="J38" i="13"/>
  <c r="D6" i="1"/>
  <c r="X34" i="13" s="1"/>
  <c r="D8" i="1"/>
  <c r="D5" i="1"/>
  <c r="D4" i="1"/>
  <c r="B3" i="10" s="1"/>
  <c r="W10" i="1"/>
  <c r="AD34" i="13"/>
  <c r="N10" i="1" s="1"/>
  <c r="R7" i="1"/>
  <c r="F12" i="8" s="1"/>
  <c r="R5" i="1"/>
  <c r="AD3" i="1"/>
  <c r="C32" i="1"/>
  <c r="C25" i="1"/>
  <c r="I35" i="13"/>
  <c r="H35" i="13"/>
  <c r="G35" i="13"/>
  <c r="M49" i="13"/>
  <c r="Q49" i="13" s="1"/>
  <c r="M48" i="13"/>
  <c r="H16" i="1" s="1"/>
  <c r="L16" i="1" s="1"/>
  <c r="L20" i="13"/>
  <c r="F20" i="13"/>
  <c r="L19" i="13"/>
  <c r="F19" i="13"/>
  <c r="R18" i="13"/>
  <c r="L18" i="13"/>
  <c r="F18" i="13"/>
  <c r="R17" i="13"/>
  <c r="L17" i="13"/>
  <c r="F17" i="13"/>
  <c r="R16" i="13"/>
  <c r="L16" i="13"/>
  <c r="F16" i="13"/>
  <c r="R15" i="13"/>
  <c r="L15" i="13"/>
  <c r="F15" i="13"/>
  <c r="AD78" i="13"/>
  <c r="AJ36" i="1" s="1"/>
  <c r="AN36" i="1" s="1"/>
  <c r="M78" i="13"/>
  <c r="Q78" i="13" s="1"/>
  <c r="AD77" i="13"/>
  <c r="AJ35" i="1" s="1"/>
  <c r="AN35" i="1" s="1"/>
  <c r="M77" i="13"/>
  <c r="Q77" i="13" s="1"/>
  <c r="AD76" i="13"/>
  <c r="AJ34" i="1" s="1"/>
  <c r="AN34" i="1" s="1"/>
  <c r="M76" i="13"/>
  <c r="V23" i="1" s="1"/>
  <c r="Z23" i="1" s="1"/>
  <c r="AD75" i="13"/>
  <c r="AF75" i="13" s="1"/>
  <c r="M75" i="13"/>
  <c r="V22" i="1" s="1"/>
  <c r="Z22" i="1" s="1"/>
  <c r="AD74" i="13"/>
  <c r="AJ32" i="1" s="1"/>
  <c r="AN32" i="1" s="1"/>
  <c r="M74" i="13"/>
  <c r="O74" i="13" s="1"/>
  <c r="X73" i="13"/>
  <c r="AD73" i="13" s="1"/>
  <c r="M73" i="13"/>
  <c r="Q73" i="13" s="1"/>
  <c r="AD72" i="13"/>
  <c r="AJ30" i="1" s="1"/>
  <c r="AN30" i="1" s="1"/>
  <c r="B72" i="10" s="1"/>
  <c r="M72" i="13"/>
  <c r="V19" i="1" s="1"/>
  <c r="Z19" i="1" s="1"/>
  <c r="AD71" i="13"/>
  <c r="AJ29" i="1" s="1"/>
  <c r="AN29" i="1" s="1"/>
  <c r="M71" i="13"/>
  <c r="V18" i="1" s="1"/>
  <c r="Z18" i="1" s="1"/>
  <c r="AD70" i="13"/>
  <c r="AJ28" i="1" s="1"/>
  <c r="AN28" i="1" s="1"/>
  <c r="G70" i="13"/>
  <c r="M70" i="13" s="1"/>
  <c r="Z17" i="1" s="1"/>
  <c r="AD69" i="13"/>
  <c r="AJ27" i="1" s="1"/>
  <c r="AN27" i="1" s="1"/>
  <c r="AD68" i="13"/>
  <c r="AJ26" i="1" s="1"/>
  <c r="AN26" i="1" s="1"/>
  <c r="B68" i="10" s="1"/>
  <c r="AD67" i="13"/>
  <c r="AJ25" i="1" s="1"/>
  <c r="AN25" i="1" s="1"/>
  <c r="B67" i="10" s="1"/>
  <c r="G67" i="13"/>
  <c r="M67" i="13" s="1"/>
  <c r="AD66" i="13"/>
  <c r="AJ24" i="1" s="1"/>
  <c r="AN24" i="1" s="1"/>
  <c r="B66" i="10" s="1"/>
  <c r="M66" i="13"/>
  <c r="O66" i="13" s="1"/>
  <c r="AD65" i="13"/>
  <c r="AJ23" i="1" s="1"/>
  <c r="AN23" i="1" s="1"/>
  <c r="M65" i="13"/>
  <c r="H33" i="1" s="1"/>
  <c r="L33" i="1" s="1"/>
  <c r="B33" i="10" s="1"/>
  <c r="AD64" i="13"/>
  <c r="AF64" i="13" s="1"/>
  <c r="M64" i="13"/>
  <c r="H32" i="1" s="1"/>
  <c r="L32" i="1" s="1"/>
  <c r="AD63" i="13"/>
  <c r="AJ21" i="1" s="1"/>
  <c r="AN21" i="1" s="1"/>
  <c r="M63" i="13"/>
  <c r="H31" i="1" s="1"/>
  <c r="L31" i="1" s="1"/>
  <c r="AD62" i="13"/>
  <c r="AJ20" i="1" s="1"/>
  <c r="AN20" i="1" s="1"/>
  <c r="M62" i="13"/>
  <c r="O62" i="13" s="1"/>
  <c r="AD61" i="13"/>
  <c r="AJ19" i="1" s="1"/>
  <c r="AN19" i="1" s="1"/>
  <c r="B61" i="10" s="1"/>
  <c r="AD60" i="13"/>
  <c r="AJ18" i="1" s="1"/>
  <c r="AN18" i="1" s="1"/>
  <c r="M60" i="13"/>
  <c r="Q60" i="13" s="1"/>
  <c r="AD59" i="13"/>
  <c r="AH59" i="13" s="1"/>
  <c r="M58" i="13"/>
  <c r="O58" i="13" s="1"/>
  <c r="M57" i="13"/>
  <c r="Q57" i="13" s="1"/>
  <c r="AD56" i="13"/>
  <c r="V35" i="1" s="1"/>
  <c r="Z35" i="1" s="1"/>
  <c r="M56" i="13"/>
  <c r="Q56" i="13" s="1"/>
  <c r="AD55" i="13"/>
  <c r="AH55" i="13" s="1"/>
  <c r="M55" i="13"/>
  <c r="H23" i="1" s="1"/>
  <c r="L23" i="1" s="1"/>
  <c r="B23" i="10" s="1"/>
  <c r="AD54" i="13"/>
  <c r="AF54" i="13" s="1"/>
  <c r="M54" i="13"/>
  <c r="H22" i="1" s="1"/>
  <c r="L22" i="1" s="1"/>
  <c r="AD53" i="13"/>
  <c r="AF53" i="13" s="1"/>
  <c r="M53" i="13"/>
  <c r="O53" i="13" s="1"/>
  <c r="AD52" i="13"/>
  <c r="AF52" i="13" s="1"/>
  <c r="M52" i="13"/>
  <c r="O52" i="13" s="1"/>
  <c r="AD51" i="13"/>
  <c r="V30" i="1" s="1"/>
  <c r="Z30" i="1" s="1"/>
  <c r="M51" i="13"/>
  <c r="H19" i="1" s="1"/>
  <c r="L19" i="1" s="1"/>
  <c r="AD50" i="13"/>
  <c r="AF50" i="13" s="1"/>
  <c r="M50" i="13"/>
  <c r="H18" i="1" s="1"/>
  <c r="L18" i="1" s="1"/>
  <c r="B18" i="10" s="1"/>
  <c r="AD49" i="13"/>
  <c r="AH49" i="13" s="1"/>
  <c r="O64" i="13"/>
  <c r="O48" i="13"/>
  <c r="B101" i="10"/>
  <c r="B87" i="10"/>
  <c r="B86" i="10"/>
  <c r="B85" i="10"/>
  <c r="B84" i="10"/>
  <c r="B83" i="10"/>
  <c r="B82" i="10"/>
  <c r="B81" i="10"/>
  <c r="B80" i="10"/>
  <c r="B88" i="10"/>
  <c r="B90" i="10"/>
  <c r="B91" i="10"/>
  <c r="B92" i="10"/>
  <c r="B93" i="10"/>
  <c r="B94" i="10"/>
  <c r="B95" i="10"/>
  <c r="B96" i="10"/>
  <c r="B97" i="10"/>
  <c r="B98" i="10"/>
  <c r="M41" i="1"/>
  <c r="B10" i="10" s="1"/>
  <c r="O41" i="1"/>
  <c r="M42" i="1"/>
  <c r="O42" i="1"/>
  <c r="M43" i="1"/>
  <c r="O43" i="1"/>
  <c r="M44" i="1"/>
  <c r="O44" i="1"/>
  <c r="AH68" i="13" l="1"/>
  <c r="F30" i="8"/>
  <c r="AH63" i="13"/>
  <c r="G33" i="13"/>
  <c r="O50" i="13"/>
  <c r="B2" i="10"/>
  <c r="B1" i="10"/>
  <c r="E88" i="7"/>
  <c r="E32" i="7"/>
  <c r="E106" i="7"/>
  <c r="E60" i="7"/>
  <c r="E14" i="7"/>
  <c r="E63" i="7"/>
  <c r="E43" i="7"/>
  <c r="E18" i="7"/>
  <c r="E4" i="7"/>
  <c r="E53" i="7"/>
  <c r="E6" i="7"/>
  <c r="E112" i="7"/>
  <c r="E80" i="7"/>
  <c r="E33" i="7"/>
  <c r="E49" i="7"/>
  <c r="E28" i="7"/>
  <c r="E104" i="7"/>
  <c r="E38" i="7"/>
  <c r="E101" i="7"/>
  <c r="E61" i="7"/>
  <c r="E36" i="7"/>
  <c r="E5" i="7"/>
  <c r="E47" i="7"/>
  <c r="E103" i="7"/>
  <c r="E34" i="7"/>
  <c r="E95" i="7"/>
  <c r="E35" i="7"/>
  <c r="E44" i="7"/>
  <c r="E64" i="7"/>
  <c r="E77" i="7"/>
  <c r="E51" i="7"/>
  <c r="E65" i="7"/>
  <c r="E108" i="7"/>
  <c r="E91" i="7"/>
  <c r="E76" i="7"/>
  <c r="E62" i="7"/>
  <c r="E39" i="7"/>
  <c r="E21" i="7"/>
  <c r="E7" i="7"/>
  <c r="E31" i="7"/>
  <c r="E105" i="7"/>
  <c r="E90" i="7"/>
  <c r="E72" i="7"/>
  <c r="E57" i="7"/>
  <c r="E30" i="7"/>
  <c r="E19" i="7"/>
  <c r="E22" i="7"/>
  <c r="E94" i="7"/>
  <c r="E83" i="7"/>
  <c r="E71" i="7"/>
  <c r="E55" i="7"/>
  <c r="E29" i="7"/>
  <c r="E16" i="7"/>
  <c r="E109" i="7"/>
  <c r="E92" i="7"/>
  <c r="E78" i="7"/>
  <c r="E70" i="7"/>
  <c r="E48" i="7"/>
  <c r="E27" i="7"/>
  <c r="E15" i="7"/>
  <c r="F27" i="8"/>
  <c r="G79" i="13"/>
  <c r="M79" i="13" s="1"/>
  <c r="V26" i="1" s="1"/>
  <c r="Z26" i="1" s="1"/>
  <c r="B47" i="10" s="1"/>
  <c r="E26" i="7"/>
  <c r="E9" i="7"/>
  <c r="E111" i="7"/>
  <c r="E100" i="7"/>
  <c r="E96" i="7"/>
  <c r="E86" i="7"/>
  <c r="E81" i="7"/>
  <c r="E73" i="7"/>
  <c r="E66" i="7"/>
  <c r="E52" i="7"/>
  <c r="E41" i="7"/>
  <c r="E25" i="7"/>
  <c r="E17" i="7"/>
  <c r="E10" i="7"/>
  <c r="E54" i="7"/>
  <c r="E116" i="7"/>
  <c r="E110" i="7"/>
  <c r="E99" i="7"/>
  <c r="E93" i="7"/>
  <c r="E85" i="7"/>
  <c r="E79" i="7"/>
  <c r="E69" i="7"/>
  <c r="E59" i="7"/>
  <c r="E50" i="7"/>
  <c r="E40" i="7"/>
  <c r="E24" i="7"/>
  <c r="E13" i="7"/>
  <c r="E8" i="7"/>
  <c r="E46" i="7"/>
  <c r="E114" i="7"/>
  <c r="E107" i="7"/>
  <c r="E98" i="7"/>
  <c r="E89" i="7"/>
  <c r="E84" i="7"/>
  <c r="E75" i="7"/>
  <c r="E68" i="7"/>
  <c r="E58" i="7"/>
  <c r="E45" i="7"/>
  <c r="E37" i="7"/>
  <c r="E23" i="7"/>
  <c r="E12" i="7"/>
  <c r="E3" i="7"/>
  <c r="E115" i="7"/>
  <c r="E113" i="7"/>
  <c r="E102" i="7"/>
  <c r="E97" i="7"/>
  <c r="E87" i="7"/>
  <c r="E82" i="7"/>
  <c r="E74" i="7"/>
  <c r="E67" i="7"/>
  <c r="E56" i="7"/>
  <c r="E42" i="7"/>
  <c r="E20" i="7"/>
  <c r="E11" i="7"/>
  <c r="AH54" i="13"/>
  <c r="O77" i="13"/>
  <c r="Q64" i="13"/>
  <c r="AF76" i="13"/>
  <c r="AF59" i="13"/>
  <c r="O54" i="13"/>
  <c r="AH76" i="13"/>
  <c r="AF74" i="13"/>
  <c r="AG34" i="13"/>
  <c r="AD10" i="1" s="1"/>
  <c r="AH56" i="13"/>
  <c r="AH51" i="13"/>
  <c r="Q74" i="13"/>
  <c r="AH74" i="13"/>
  <c r="O65" i="13"/>
  <c r="V31" i="1"/>
  <c r="Z31" i="1" s="1"/>
  <c r="V24" i="1"/>
  <c r="Z24" i="1" s="1"/>
  <c r="L27" i="1"/>
  <c r="B27" i="10" s="1"/>
  <c r="Q10" i="1"/>
  <c r="V28" i="1"/>
  <c r="Z28" i="1" s="1"/>
  <c r="Z4" i="1"/>
  <c r="AF5" i="1"/>
  <c r="AH62" i="13"/>
  <c r="Q71" i="13"/>
  <c r="AH52" i="13"/>
  <c r="Q54" i="13"/>
  <c r="V33" i="1"/>
  <c r="Z33" i="1" s="1"/>
  <c r="AJ17" i="1"/>
  <c r="AN17" i="1" s="1"/>
  <c r="F26" i="8"/>
  <c r="AF6" i="1"/>
  <c r="AH60" i="13"/>
  <c r="AH66" i="13"/>
  <c r="O71" i="13"/>
  <c r="Q48" i="13"/>
  <c r="V29" i="1"/>
  <c r="Z29" i="1" s="1"/>
  <c r="B50" i="10" s="1"/>
  <c r="V32" i="1"/>
  <c r="Z32" i="1" s="1"/>
  <c r="AF68" i="13"/>
  <c r="AF78" i="13"/>
  <c r="O63" i="13"/>
  <c r="AH71" i="13"/>
  <c r="AF55" i="13"/>
  <c r="O75" i="13"/>
  <c r="Q58" i="13"/>
  <c r="AF62" i="13"/>
  <c r="Q66" i="13"/>
  <c r="AF71" i="13"/>
  <c r="Q63" i="13"/>
  <c r="Q75" i="13"/>
  <c r="V34" i="1"/>
  <c r="Z34" i="1" s="1"/>
  <c r="H25" i="1"/>
  <c r="L25" i="1" s="1"/>
  <c r="H30" i="1"/>
  <c r="L30" i="1" s="1"/>
  <c r="H34" i="1"/>
  <c r="L34" i="1" s="1"/>
  <c r="V20" i="1"/>
  <c r="Z20" i="1" s="1"/>
  <c r="V21" i="1"/>
  <c r="Z21" i="1" s="1"/>
  <c r="V25" i="1"/>
  <c r="Z25" i="1" s="1"/>
  <c r="AH61" i="13"/>
  <c r="AF51" i="13"/>
  <c r="B5" i="10"/>
  <c r="Z5" i="1"/>
  <c r="O60" i="13"/>
  <c r="O70" i="13"/>
  <c r="AF61" i="13"/>
  <c r="AF56" i="13"/>
  <c r="Q52" i="13"/>
  <c r="Q76" i="13"/>
  <c r="H17" i="1"/>
  <c r="L17" i="1" s="1"/>
  <c r="AF63" i="13"/>
  <c r="AF65" i="13"/>
  <c r="T8" i="1"/>
  <c r="AF4" i="1"/>
  <c r="AF67" i="13"/>
  <c r="AH50" i="13"/>
  <c r="AF58" i="13"/>
  <c r="Q62" i="13"/>
  <c r="O78" i="13"/>
  <c r="O49" i="13"/>
  <c r="AH67" i="13"/>
  <c r="Q55" i="13"/>
  <c r="AH64" i="13"/>
  <c r="Q50" i="13"/>
  <c r="H20" i="1"/>
  <c r="L20" i="1" s="1"/>
  <c r="H26" i="1"/>
  <c r="H28" i="1"/>
  <c r="L28" i="1" s="1"/>
  <c r="B28" i="10" s="1"/>
  <c r="G61" i="13"/>
  <c r="M61" i="13" s="1"/>
  <c r="Q61" i="13" s="1"/>
  <c r="AH75" i="13"/>
  <c r="Q68" i="13"/>
  <c r="AF66" i="13"/>
  <c r="AF3" i="1"/>
  <c r="AF72" i="13"/>
  <c r="O56" i="13"/>
  <c r="AH78" i="13"/>
  <c r="AH65" i="13"/>
  <c r="Q53" i="13"/>
  <c r="AH58" i="13"/>
  <c r="AF48" i="13"/>
  <c r="AH72" i="13"/>
  <c r="AF49" i="13"/>
  <c r="H21" i="1"/>
  <c r="L21" i="1" s="1"/>
  <c r="H24" i="1"/>
  <c r="L24" i="1" s="1"/>
  <c r="AJ22" i="1"/>
  <c r="AN22" i="1" s="1"/>
  <c r="AJ33" i="1"/>
  <c r="AN33" i="1" s="1"/>
  <c r="R34" i="13"/>
  <c r="AN39" i="1" s="1"/>
  <c r="F11" i="8"/>
  <c r="AA34" i="13"/>
  <c r="E10" i="1" s="1"/>
  <c r="H36" i="1"/>
  <c r="L36" i="1" s="1"/>
  <c r="B36" i="10" s="1"/>
  <c r="B78" i="10"/>
  <c r="T6" i="1"/>
  <c r="Q65" i="13"/>
  <c r="O76" i="13"/>
  <c r="O55" i="13"/>
  <c r="O72" i="13"/>
  <c r="Q51" i="13"/>
  <c r="AH69" i="13"/>
  <c r="AH70" i="13"/>
  <c r="T3" i="1"/>
  <c r="F15" i="8"/>
  <c r="AF70" i="13"/>
  <c r="AH48" i="13"/>
  <c r="O73" i="13"/>
  <c r="F28" i="8"/>
  <c r="T5" i="1"/>
  <c r="Z8" i="1"/>
  <c r="B4" i="10"/>
  <c r="AH57" i="13"/>
  <c r="AH53" i="13"/>
  <c r="AF77" i="13"/>
  <c r="O59" i="13"/>
  <c r="O51" i="13"/>
  <c r="AF60" i="13"/>
  <c r="AF57" i="13"/>
  <c r="Q72" i="13"/>
  <c r="T4" i="1"/>
  <c r="Z3" i="1"/>
  <c r="Z7" i="1"/>
  <c r="F16" i="8"/>
  <c r="AH77" i="13"/>
  <c r="AF69" i="13"/>
  <c r="O57" i="13"/>
  <c r="Q59" i="13"/>
  <c r="F31" i="8"/>
  <c r="F29" i="8"/>
  <c r="AF73" i="13"/>
  <c r="AJ31" i="1"/>
  <c r="AN31" i="1" s="1"/>
  <c r="AH73" i="13"/>
  <c r="Q69" i="13"/>
  <c r="O69" i="13"/>
  <c r="V16" i="1"/>
  <c r="Z16" i="1" s="1"/>
  <c r="B37" i="10" s="1"/>
  <c r="Q67" i="13"/>
  <c r="H35" i="1"/>
  <c r="L35" i="1" s="1"/>
  <c r="O67" i="13"/>
  <c r="T7" i="1"/>
  <c r="Z6" i="1"/>
  <c r="F13" i="8"/>
  <c r="F10" i="8"/>
  <c r="U34" i="13"/>
  <c r="AN41" i="1" s="1"/>
  <c r="F14" i="8"/>
  <c r="Q70" i="13"/>
  <c r="K40" i="1" l="1"/>
  <c r="M40" i="1" s="1"/>
  <c r="Q79" i="13"/>
  <c r="O79" i="13"/>
  <c r="E2" i="7"/>
  <c r="AF10" i="1"/>
  <c r="S79" i="13"/>
  <c r="B44" i="13"/>
  <c r="H10" i="1"/>
  <c r="H29" i="1"/>
  <c r="L29" i="1" s="1"/>
  <c r="O61" i="13"/>
  <c r="L26" i="1"/>
  <c r="K48" i="1"/>
  <c r="F18" i="8"/>
  <c r="F21" i="8" s="1"/>
  <c r="AF19" i="13"/>
  <c r="F17" i="8"/>
  <c r="O40" i="1" l="1"/>
  <c r="B9" i="10"/>
  <c r="B7" i="10"/>
  <c r="AN43" i="1"/>
  <c r="AP44" i="1" s="1"/>
  <c r="B48" i="1"/>
  <c r="B26" i="10"/>
  <c r="F19" i="8"/>
  <c r="F22" i="8" s="1"/>
  <c r="F20" i="8"/>
  <c r="AP43" i="1" l="1"/>
  <c r="B14" i="10" s="1"/>
  <c r="F23" i="8"/>
  <c r="AD7" i="1" l="1"/>
  <c r="B6" i="10" s="1"/>
</calcChain>
</file>

<file path=xl/sharedStrings.xml><?xml version="1.0" encoding="utf-8"?>
<sst xmlns="http://schemas.openxmlformats.org/spreadsheetml/2006/main" count="1155" uniqueCount="751">
  <si>
    <t>姓名</t>
    <phoneticPr fontId="2" type="noConversion"/>
  </si>
  <si>
    <t>玩家</t>
    <phoneticPr fontId="2" type="noConversion"/>
  </si>
  <si>
    <t>职业</t>
    <phoneticPr fontId="2" type="noConversion"/>
  </si>
  <si>
    <t>年龄</t>
    <phoneticPr fontId="2" type="noConversion"/>
  </si>
  <si>
    <t>性别</t>
    <phoneticPr fontId="2" type="noConversion"/>
  </si>
  <si>
    <r>
      <t xml:space="preserve">体型
</t>
    </r>
    <r>
      <rPr>
        <sz val="8"/>
        <color theme="1"/>
        <rFont val="微软雅黑"/>
        <family val="2"/>
        <charset val="134"/>
      </rPr>
      <t>SIZ</t>
    </r>
    <phoneticPr fontId="2" type="noConversion"/>
  </si>
  <si>
    <t>初始</t>
    <phoneticPr fontId="2" type="noConversion"/>
  </si>
  <si>
    <t>兴趣</t>
    <phoneticPr fontId="2" type="noConversion"/>
  </si>
  <si>
    <t>成功率</t>
    <phoneticPr fontId="2" type="noConversion"/>
  </si>
  <si>
    <t>法律</t>
    <phoneticPr fontId="2" type="noConversion"/>
  </si>
  <si>
    <t>科学</t>
    <phoneticPr fontId="2" type="noConversion"/>
  </si>
  <si>
    <t>克苏鲁神话</t>
    <phoneticPr fontId="2" type="noConversion"/>
  </si>
  <si>
    <t>技能表</t>
    <phoneticPr fontId="2" type="noConversion"/>
  </si>
  <si>
    <t>武器</t>
    <phoneticPr fontId="2" type="noConversion"/>
  </si>
  <si>
    <t>故障值</t>
    <phoneticPr fontId="2" type="noConversion"/>
  </si>
  <si>
    <t>格斗</t>
    <phoneticPr fontId="2" type="noConversion"/>
  </si>
  <si>
    <t>表演</t>
  </si>
  <si>
    <t>摄影</t>
  </si>
  <si>
    <t>地质学</t>
  </si>
  <si>
    <t>动物学</t>
    <phoneticPr fontId="2" type="noConversion"/>
  </si>
  <si>
    <t>密码学</t>
    <phoneticPr fontId="2" type="noConversion"/>
  </si>
  <si>
    <t>工程学</t>
    <phoneticPr fontId="2" type="noConversion"/>
  </si>
  <si>
    <t>运动员</t>
    <phoneticPr fontId="2" type="noConversion"/>
  </si>
  <si>
    <t>书商</t>
    <phoneticPr fontId="2" type="noConversion"/>
  </si>
  <si>
    <t>赏金猎人</t>
    <phoneticPr fontId="2" type="noConversion"/>
  </si>
  <si>
    <t>本职技能</t>
    <phoneticPr fontId="2" type="noConversion"/>
  </si>
  <si>
    <t>序号</t>
    <phoneticPr fontId="2" type="noConversion"/>
  </si>
  <si>
    <t>技能</t>
    <phoneticPr fontId="2" type="noConversion"/>
  </si>
  <si>
    <t>基础值</t>
    <phoneticPr fontId="2" type="noConversion"/>
  </si>
  <si>
    <t>矛</t>
    <phoneticPr fontId="2" type="noConversion"/>
  </si>
  <si>
    <t>剑</t>
    <phoneticPr fontId="2" type="noConversion"/>
  </si>
  <si>
    <t>技能点</t>
    <phoneticPr fontId="2" type="noConversion"/>
  </si>
  <si>
    <t>自定义职业</t>
    <phoneticPr fontId="2" type="noConversion"/>
  </si>
  <si>
    <t>——</t>
    <phoneticPr fontId="2" type="noConversion"/>
  </si>
  <si>
    <t>资产</t>
    <phoneticPr fontId="2" type="noConversion"/>
  </si>
  <si>
    <t>背景故事</t>
    <phoneticPr fontId="2" type="noConversion"/>
  </si>
  <si>
    <t>大失败</t>
    <phoneticPr fontId="2" type="noConversion"/>
  </si>
  <si>
    <t>失败</t>
    <phoneticPr fontId="2" type="noConversion"/>
  </si>
  <si>
    <t>成功</t>
    <phoneticPr fontId="2" type="noConversion"/>
  </si>
  <si>
    <t>困难</t>
    <phoneticPr fontId="2" type="noConversion"/>
  </si>
  <si>
    <t>极难</t>
    <phoneticPr fontId="2" type="noConversion"/>
  </si>
  <si>
    <t>大成功</t>
    <phoneticPr fontId="2" type="noConversion"/>
  </si>
  <si>
    <t>≤技能</t>
  </si>
  <si>
    <t>&gt;技能</t>
    <phoneticPr fontId="2" type="noConversion"/>
  </si>
  <si>
    <t>1/2值</t>
    <phoneticPr fontId="2" type="noConversion"/>
  </si>
  <si>
    <t>1/5值</t>
    <phoneticPr fontId="2" type="noConversion"/>
  </si>
  <si>
    <t>[急救]回复1点体力</t>
    <phoneticPr fontId="2" type="noConversion"/>
  </si>
  <si>
    <t>重伤</t>
    <phoneticPr fontId="2" type="noConversion"/>
  </si>
  <si>
    <t>昏迷</t>
    <phoneticPr fontId="2" type="noConversion"/>
  </si>
  <si>
    <t>濒死</t>
    <phoneticPr fontId="2" type="noConversion"/>
  </si>
  <si>
    <t>一次受到最大生命值一半的伤害</t>
    <phoneticPr fontId="2" type="noConversion"/>
  </si>
  <si>
    <t>HP=0但并未[重伤]</t>
    <phoneticPr fontId="2" type="noConversion"/>
  </si>
  <si>
    <t>HP=0且受到[重伤]。需要用[急救]摆脱濒死效果，并用[医学]进行后续治疗。</t>
    <phoneticPr fontId="2" type="noConversion"/>
  </si>
  <si>
    <t>无重伤下每天自然回复1点体力</t>
    <phoneticPr fontId="2" type="noConversion"/>
  </si>
  <si>
    <t>重伤时每周做1次恢复检定</t>
    <phoneticPr fontId="2" type="noConversion"/>
  </si>
  <si>
    <t>信誉</t>
  </si>
  <si>
    <t>牛仔</t>
    <phoneticPr fontId="2" type="noConversion"/>
  </si>
  <si>
    <t>工程师</t>
    <phoneticPr fontId="2" type="noConversion"/>
  </si>
  <si>
    <t>法医</t>
    <phoneticPr fontId="2" type="noConversion"/>
  </si>
  <si>
    <t>赌徒</t>
    <phoneticPr fontId="2" type="noConversion"/>
  </si>
  <si>
    <t>美术</t>
    <phoneticPr fontId="2" type="noConversion"/>
  </si>
  <si>
    <t>生物学</t>
    <phoneticPr fontId="2" type="noConversion"/>
  </si>
  <si>
    <t>天文学</t>
    <phoneticPr fontId="2" type="noConversion"/>
  </si>
  <si>
    <t>冲锋枪</t>
    <phoneticPr fontId="2" type="noConversion"/>
  </si>
  <si>
    <t>火焰喷射器</t>
    <phoneticPr fontId="2" type="noConversion"/>
  </si>
  <si>
    <t>手枪</t>
    <phoneticPr fontId="2" type="noConversion"/>
  </si>
  <si>
    <t>重武器</t>
    <phoneticPr fontId="2" type="noConversion"/>
  </si>
  <si>
    <t>化学</t>
    <phoneticPr fontId="2" type="noConversion"/>
  </si>
  <si>
    <t>数学</t>
    <phoneticPr fontId="2" type="noConversion"/>
  </si>
  <si>
    <t>物理学</t>
    <phoneticPr fontId="2" type="noConversion"/>
  </si>
  <si>
    <t>植物学</t>
    <phoneticPr fontId="2" type="noConversion"/>
  </si>
  <si>
    <t>气象学</t>
    <phoneticPr fontId="2" type="noConversion"/>
  </si>
  <si>
    <t>射击</t>
    <phoneticPr fontId="2" type="noConversion"/>
  </si>
  <si>
    <t>斗殴</t>
  </si>
  <si>
    <t>斗殴</t>
    <phoneticPr fontId="2" type="noConversion"/>
  </si>
  <si>
    <t>链枷</t>
    <phoneticPr fontId="2" type="noConversion"/>
  </si>
  <si>
    <t>说服</t>
    <phoneticPr fontId="2" type="noConversion"/>
  </si>
  <si>
    <t>手枪</t>
  </si>
  <si>
    <t>会计师</t>
    <phoneticPr fontId="2" type="noConversion"/>
  </si>
  <si>
    <t>0-99</t>
    <phoneticPr fontId="2" type="noConversion"/>
  </si>
  <si>
    <t>30-70</t>
    <phoneticPr fontId="2" type="noConversion"/>
  </si>
  <si>
    <t>教育×4</t>
  </si>
  <si>
    <t>9-20</t>
    <phoneticPr fontId="2" type="noConversion"/>
  </si>
  <si>
    <t>教育×2＋外貌×2</t>
  </si>
  <si>
    <t>教育×2＋外貌×2</t>
    <phoneticPr fontId="2" type="noConversion"/>
  </si>
  <si>
    <t>演员-戏剧演员</t>
    <phoneticPr fontId="2" type="noConversion"/>
  </si>
  <si>
    <t>一项社交技能（魅惑、话术、恐吓、说服），格斗（斗殴），射击，法律，图书馆，心理学，潜行，追踪。</t>
    <phoneticPr fontId="2" type="noConversion"/>
  </si>
  <si>
    <t>教育×4</t>
    <phoneticPr fontId="2" type="noConversion"/>
  </si>
  <si>
    <t>10-40</t>
    <phoneticPr fontId="2" type="noConversion"/>
  </si>
  <si>
    <t>古董商</t>
    <phoneticPr fontId="2" type="noConversion"/>
  </si>
  <si>
    <t>9-50</t>
    <phoneticPr fontId="2" type="noConversion"/>
  </si>
  <si>
    <t>精神病院护工</t>
    <phoneticPr fontId="2" type="noConversion"/>
  </si>
  <si>
    <t>9-70</t>
    <phoneticPr fontId="2" type="noConversion"/>
  </si>
  <si>
    <t>演员-电影演员</t>
    <phoneticPr fontId="2" type="noConversion"/>
  </si>
  <si>
    <t>法律，聆听，医学，外语，精神分析，心理学，科学（生物学，化学）。</t>
    <phoneticPr fontId="2" type="noConversion"/>
  </si>
  <si>
    <t>估价，考古，历史，外语，图书馆，侦查，机械维修，导航或科学（任一：如化学、物理、地理等）。</t>
    <phoneticPr fontId="2" type="noConversion"/>
  </si>
  <si>
    <t>酒保</t>
    <phoneticPr fontId="2" type="noConversion"/>
  </si>
  <si>
    <t>会计，估价，汽车驾驶，历史，图书馆，母语，外语，一项社交技能（魅惑、话术、恐吓、说服）。</t>
    <phoneticPr fontId="2" type="noConversion"/>
  </si>
  <si>
    <t>9-30</t>
    <phoneticPr fontId="2" type="noConversion"/>
  </si>
  <si>
    <t>教育×2＋力量×2</t>
    <phoneticPr fontId="2" type="noConversion"/>
  </si>
  <si>
    <t>9-40</t>
    <phoneticPr fontId="2" type="noConversion"/>
  </si>
  <si>
    <t>9-60</t>
    <phoneticPr fontId="2" type="noConversion"/>
  </si>
  <si>
    <t>程序员、电子工程师</t>
    <phoneticPr fontId="2" type="noConversion"/>
  </si>
  <si>
    <t>教育×2＋敏捷×2</t>
    <phoneticPr fontId="2" type="noConversion"/>
  </si>
  <si>
    <t>职业属性</t>
    <phoneticPr fontId="2" type="noConversion"/>
  </si>
  <si>
    <t>罪犯-银行劫匪</t>
    <phoneticPr fontId="2" type="noConversion"/>
  </si>
  <si>
    <t>罪犯-欺诈师</t>
    <phoneticPr fontId="2" type="noConversion"/>
  </si>
  <si>
    <t>罪犯-混混</t>
    <phoneticPr fontId="2" type="noConversion"/>
  </si>
  <si>
    <t>3-10</t>
    <phoneticPr fontId="2" type="noConversion"/>
  </si>
  <si>
    <t>20-60</t>
    <phoneticPr fontId="2" type="noConversion"/>
  </si>
  <si>
    <t>30-60</t>
    <phoneticPr fontId="2" type="noConversion"/>
  </si>
  <si>
    <t>攀爬，闪避，跳跃，投掷，侦查，游泳，任意两项其他个人或时代特长。</t>
    <phoneticPr fontId="2" type="noConversion"/>
  </si>
  <si>
    <t>30-50</t>
    <phoneticPr fontId="2" type="noConversion"/>
  </si>
  <si>
    <t>会计，历史，图书馆，聆听，外语，一项社交技能（魅惑、话术、恐吓、说服），心理学，任意一项其他技能。</t>
    <phoneticPr fontId="2" type="noConversion"/>
  </si>
  <si>
    <t>10-70</t>
    <phoneticPr fontId="2" type="noConversion"/>
  </si>
  <si>
    <t>5-30</t>
    <phoneticPr fontId="2" type="noConversion"/>
  </si>
  <si>
    <t>两项社交技能（魅惑、话术、恐吓、说服），汽车驾驶，格斗（斗殴）或射击，历史，神秘学，心理学，潜行。※经KP允许 可用催眠替换其中一项。</t>
    <phoneticPr fontId="2" type="noConversion"/>
  </si>
  <si>
    <t>30-80</t>
    <phoneticPr fontId="2" type="noConversion"/>
  </si>
  <si>
    <t>教育×2＋外貌或敏捷或力量×2</t>
    <phoneticPr fontId="2" type="noConversion"/>
  </si>
  <si>
    <t>司机-私人司机</t>
    <phoneticPr fontId="2" type="noConversion"/>
  </si>
  <si>
    <t>司机-司机</t>
    <phoneticPr fontId="2" type="noConversion"/>
  </si>
  <si>
    <t>50-90</t>
    <phoneticPr fontId="2" type="noConversion"/>
  </si>
  <si>
    <t>消防员</t>
    <phoneticPr fontId="2" type="noConversion"/>
  </si>
  <si>
    <t>攀爬，闪避，汽车驾驶，急救，跳跃，机械维修，操作重型机械，投掷。</t>
    <phoneticPr fontId="2" type="noConversion"/>
  </si>
  <si>
    <t>黑帮-黑帮老大</t>
    <phoneticPr fontId="2" type="noConversion"/>
  </si>
  <si>
    <t>黑帮-马仔</t>
    <phoneticPr fontId="2" type="noConversion"/>
  </si>
  <si>
    <t>0-5</t>
    <phoneticPr fontId="2" type="noConversion"/>
  </si>
  <si>
    <t>游民</t>
    <phoneticPr fontId="2" type="noConversion"/>
  </si>
  <si>
    <t>记者(原作向)-调查记者</t>
    <phoneticPr fontId="2" type="noConversion"/>
  </si>
  <si>
    <t>外语，聆听，医学，说服，精神分析，心理学，科学（生物学，化学）。</t>
    <phoneticPr fontId="2" type="noConversion"/>
  </si>
  <si>
    <t>杂技演员</t>
    <phoneticPr fontId="2" type="noConversion"/>
  </si>
  <si>
    <t>20-90</t>
    <phoneticPr fontId="2" type="noConversion"/>
  </si>
  <si>
    <t>中介调查员</t>
    <phoneticPr fontId="2" type="noConversion"/>
  </si>
  <si>
    <t>20-45</t>
    <phoneticPr fontId="2" type="noConversion"/>
  </si>
  <si>
    <t>教育×2＋力量或敏捷×2</t>
    <phoneticPr fontId="2" type="noConversion"/>
  </si>
  <si>
    <t>精神病医生（古典）</t>
    <phoneticPr fontId="2" type="noConversion"/>
  </si>
  <si>
    <t>10-60</t>
    <phoneticPr fontId="2" type="noConversion"/>
  </si>
  <si>
    <t>动物训练师</t>
    <phoneticPr fontId="2" type="noConversion"/>
  </si>
  <si>
    <t>文物学家（原作向）</t>
    <phoneticPr fontId="2" type="noConversion"/>
  </si>
  <si>
    <t>考古学家（原作向）</t>
    <phoneticPr fontId="2" type="noConversion"/>
  </si>
  <si>
    <t>建筑师</t>
    <phoneticPr fontId="2" type="noConversion"/>
  </si>
  <si>
    <t>8-20</t>
    <phoneticPr fontId="2" type="noConversion"/>
  </si>
  <si>
    <t>攀爬，跳跃，格斗（斗殴），骑乘，一项社交技能（魅惑、话术、恐吓、说服），游泳，投掷，任意一项其他个人或时代特长。</t>
    <phoneticPr fontId="2" type="noConversion"/>
  </si>
  <si>
    <t>作家（原作向）</t>
    <phoneticPr fontId="2" type="noConversion"/>
  </si>
  <si>
    <t>8-25</t>
    <phoneticPr fontId="2" type="noConversion"/>
  </si>
  <si>
    <t>会计，两项社交技能（魅惑、话术、恐吓、说服），格斗（斗殴），聆听，心理学，侦查，任意一项其他个人或时代特长。</t>
    <phoneticPr fontId="2" type="noConversion"/>
  </si>
  <si>
    <t>猎人</t>
    <phoneticPr fontId="2" type="noConversion"/>
  </si>
  <si>
    <t>20-50</t>
    <phoneticPr fontId="2" type="noConversion"/>
  </si>
  <si>
    <t>20-40</t>
    <phoneticPr fontId="2" type="noConversion"/>
  </si>
  <si>
    <t>拳击手、摔跤手</t>
    <phoneticPr fontId="2" type="noConversion"/>
  </si>
  <si>
    <t>闪避，格斗（斗殴），恐吓，跳跃，心理学，侦查，任意两项其他个人或时代特长。</t>
    <phoneticPr fontId="2" type="noConversion"/>
  </si>
  <si>
    <t>管家、男仆、女仆</t>
    <phoneticPr fontId="2" type="noConversion"/>
  </si>
  <si>
    <t>神职人员</t>
    <phoneticPr fontId="2" type="noConversion"/>
  </si>
  <si>
    <t>黑客/骇客</t>
    <phoneticPr fontId="2" type="noConversion"/>
  </si>
  <si>
    <t>工匠</t>
    <phoneticPr fontId="2" type="noConversion"/>
  </si>
  <si>
    <t>罪犯-刺客</t>
    <phoneticPr fontId="2" type="noConversion"/>
  </si>
  <si>
    <t>5-75</t>
    <phoneticPr fontId="2" type="noConversion"/>
  </si>
  <si>
    <t>罪犯-打手、暴徒</t>
    <phoneticPr fontId="2" type="noConversion"/>
  </si>
  <si>
    <t>罪犯-窃贼</t>
    <phoneticPr fontId="2" type="noConversion"/>
  </si>
  <si>
    <t>5-40</t>
    <phoneticPr fontId="2" type="noConversion"/>
  </si>
  <si>
    <t>10-65</t>
    <phoneticPr fontId="2" type="noConversion"/>
  </si>
  <si>
    <t>罪犯-独行罪犯</t>
    <phoneticPr fontId="2" type="noConversion"/>
  </si>
  <si>
    <t>5-65</t>
    <phoneticPr fontId="2" type="noConversion"/>
  </si>
  <si>
    <t>罪犯-女飞贼（古典）</t>
    <phoneticPr fontId="2" type="noConversion"/>
  </si>
  <si>
    <t>10-80</t>
    <phoneticPr fontId="2" type="noConversion"/>
  </si>
  <si>
    <t>罪犯-赃物贩子</t>
    <phoneticPr fontId="2" type="noConversion"/>
  </si>
  <si>
    <t>罪犯-走私者</t>
    <phoneticPr fontId="2" type="noConversion"/>
  </si>
  <si>
    <t>射击，聆听，导航，一项社交技能（魅惑、话术、恐吓、说服），汽车驾驶或驾驶（飞行器或船），心理学，妙手，侦查。</t>
    <phoneticPr fontId="2" type="noConversion"/>
  </si>
  <si>
    <t>教团首领</t>
    <phoneticPr fontId="2" type="noConversion"/>
  </si>
  <si>
    <t>会计，两项社交技能（魅惑、话术、恐吓、说服），神秘学，心理学，侦查，任意其他两项其他个人特长。</t>
    <phoneticPr fontId="2" type="noConversion"/>
  </si>
  <si>
    <t>除魅师（现代）</t>
    <phoneticPr fontId="2" type="noConversion"/>
  </si>
  <si>
    <t>设计师</t>
    <phoneticPr fontId="2" type="noConversion"/>
  </si>
  <si>
    <t>50-99</t>
    <phoneticPr fontId="2" type="noConversion"/>
  </si>
  <si>
    <t>潜水员</t>
    <phoneticPr fontId="2" type="noConversion"/>
  </si>
  <si>
    <t>潜水，急救，机械维修，驾驶（船），科学（生物），侦查，游泳，任意一项其他个人或时代特长。</t>
    <phoneticPr fontId="2" type="noConversion"/>
  </si>
  <si>
    <t>医生（原作向）</t>
    <phoneticPr fontId="2" type="noConversion"/>
  </si>
  <si>
    <t>流浪者</t>
    <phoneticPr fontId="2" type="noConversion"/>
  </si>
  <si>
    <t>攀爬，跳跃，聆听，导航，一项社交技能（魅惑、话术、恐吓、说服），潜行，任意两项其他个人或时代特长。</t>
    <phoneticPr fontId="2" type="noConversion"/>
  </si>
  <si>
    <t>会计，汽车驾驶，聆听，一项社交技能（魅惑、话术、恐吓、说服），机械维修，导航，心理学，任意一项其他个人或时代特长。</t>
    <phoneticPr fontId="2" type="noConversion"/>
  </si>
  <si>
    <t>司机-出租车司机</t>
    <phoneticPr fontId="2" type="noConversion"/>
  </si>
  <si>
    <t>编辑</t>
    <phoneticPr fontId="2" type="noConversion"/>
  </si>
  <si>
    <t>10-30</t>
    <phoneticPr fontId="2" type="noConversion"/>
  </si>
  <si>
    <t>会计，历史，母语，两项社交技能（魅惑、话术、恐吓、说服），心理学，侦查，任意一项其他个人或时代特长。</t>
    <phoneticPr fontId="2" type="noConversion"/>
  </si>
  <si>
    <t>政府官员</t>
    <phoneticPr fontId="2" type="noConversion"/>
  </si>
  <si>
    <t>艺人</t>
    <phoneticPr fontId="2" type="noConversion"/>
  </si>
  <si>
    <t>探险家（古典）</t>
    <phoneticPr fontId="2" type="noConversion"/>
  </si>
  <si>
    <t>55-80</t>
    <phoneticPr fontId="2" type="noConversion"/>
  </si>
  <si>
    <t>农民</t>
    <phoneticPr fontId="2" type="noConversion"/>
  </si>
  <si>
    <t>司法人员</t>
    <phoneticPr fontId="2" type="noConversion"/>
  </si>
  <si>
    <t>汽车驾驶，格斗（斗殴），射击，法律，说服，潜行，侦查，任意一项其他个人或时代特长。</t>
    <phoneticPr fontId="2" type="noConversion"/>
  </si>
  <si>
    <t>驻外记者</t>
    <phoneticPr fontId="2" type="noConversion"/>
  </si>
  <si>
    <t>历史，外语，母语，聆听，两项社交技能（魅惑、话术、恐吓、说服），心理学，任意一项其他个人或时代特长。</t>
    <phoneticPr fontId="2" type="noConversion"/>
  </si>
  <si>
    <t>40-60</t>
    <phoneticPr fontId="2" type="noConversion"/>
  </si>
  <si>
    <t>8-50</t>
    <phoneticPr fontId="2" type="noConversion"/>
  </si>
  <si>
    <t>60-95</t>
    <phoneticPr fontId="2" type="noConversion"/>
  </si>
  <si>
    <t>汽车驾驶，格斗，射击，两项社交技能（魅惑、话术、恐吓、说服），心理学，任意两项其他个人或时代特长。</t>
    <phoneticPr fontId="2" type="noConversion"/>
  </si>
  <si>
    <t>绅士、淑女</t>
    <phoneticPr fontId="2" type="noConversion"/>
  </si>
  <si>
    <t>40-90</t>
    <phoneticPr fontId="2" type="noConversion"/>
  </si>
  <si>
    <t>勤杂护工</t>
    <phoneticPr fontId="2" type="noConversion"/>
  </si>
  <si>
    <t>6-15</t>
    <phoneticPr fontId="2" type="noConversion"/>
  </si>
  <si>
    <t>记者(原作向)-通讯记者</t>
    <phoneticPr fontId="2" type="noConversion"/>
  </si>
  <si>
    <t>法官</t>
    <phoneticPr fontId="2" type="noConversion"/>
  </si>
  <si>
    <t>50-80</t>
    <phoneticPr fontId="2" type="noConversion"/>
  </si>
  <si>
    <t>历史，恐吓，法律，图书馆，聆听，母语，说服，心理学。</t>
    <phoneticPr fontId="2" type="noConversion"/>
  </si>
  <si>
    <t>实验室助理</t>
    <phoneticPr fontId="2" type="noConversion"/>
  </si>
  <si>
    <t>工人-伐木工</t>
    <phoneticPr fontId="2" type="noConversion"/>
  </si>
  <si>
    <t>工人-矿工</t>
    <phoneticPr fontId="2" type="noConversion"/>
  </si>
  <si>
    <t>律师</t>
    <phoneticPr fontId="2" type="noConversion"/>
  </si>
  <si>
    <t>会计，法律，图书馆，两项社交技能（魅惑、话术、恐吓、说服），心理学，两项其他技能。</t>
    <phoneticPr fontId="2" type="noConversion"/>
  </si>
  <si>
    <t>图书馆管理员（原作向）</t>
    <phoneticPr fontId="2" type="noConversion"/>
  </si>
  <si>
    <t>9-35</t>
    <phoneticPr fontId="2" type="noConversion"/>
  </si>
  <si>
    <t>技师</t>
    <phoneticPr fontId="2" type="noConversion"/>
  </si>
  <si>
    <t>军官</t>
    <phoneticPr fontId="2" type="noConversion"/>
  </si>
  <si>
    <t>20-70</t>
    <phoneticPr fontId="2" type="noConversion"/>
  </si>
  <si>
    <t>传教士</t>
    <phoneticPr fontId="2" type="noConversion"/>
  </si>
  <si>
    <t>0-30</t>
    <phoneticPr fontId="2" type="noConversion"/>
  </si>
  <si>
    <t>登山家</t>
    <phoneticPr fontId="2" type="noConversion"/>
  </si>
  <si>
    <t>博物馆管理员</t>
    <phoneticPr fontId="2" type="noConversion"/>
  </si>
  <si>
    <t>会计，估价，考古，历史，图书馆，神秘学，外语，侦查。</t>
    <phoneticPr fontId="2" type="noConversion"/>
  </si>
  <si>
    <t>音乐家</t>
    <phoneticPr fontId="2" type="noConversion"/>
  </si>
  <si>
    <t>护士</t>
    <phoneticPr fontId="2" type="noConversion"/>
  </si>
  <si>
    <t>急救，聆听，医学，一项社交技能（魅惑、话术、恐吓、说服），心理学，科学（生物学，化学），侦查。</t>
    <phoneticPr fontId="2" type="noConversion"/>
  </si>
  <si>
    <t>神秘学家</t>
    <phoneticPr fontId="2" type="noConversion"/>
  </si>
  <si>
    <t>9-65</t>
    <phoneticPr fontId="2" type="noConversion"/>
  </si>
  <si>
    <t>旅行家</t>
    <phoneticPr fontId="2" type="noConversion"/>
  </si>
  <si>
    <t>5-20</t>
    <phoneticPr fontId="2" type="noConversion"/>
  </si>
  <si>
    <t>超心理学家</t>
    <phoneticPr fontId="2" type="noConversion"/>
  </si>
  <si>
    <t>药剂师</t>
    <phoneticPr fontId="2" type="noConversion"/>
  </si>
  <si>
    <t>35-75</t>
    <phoneticPr fontId="2" type="noConversion"/>
  </si>
  <si>
    <t>会计，急救，外语（拉丁文），图书馆，一项社交技能（魅惑、话术、恐吓、说服），心理学，科学（制药，化学）。</t>
    <phoneticPr fontId="2" type="noConversion"/>
  </si>
  <si>
    <t>摄影师-摄影师</t>
    <phoneticPr fontId="2" type="noConversion"/>
  </si>
  <si>
    <t>摄影师-摄影记者</t>
    <phoneticPr fontId="2" type="noConversion"/>
  </si>
  <si>
    <t>飞行员-飞行员</t>
    <phoneticPr fontId="2" type="noConversion"/>
  </si>
  <si>
    <t>飞行员-特技飞行员（古典）</t>
    <phoneticPr fontId="2" type="noConversion"/>
  </si>
  <si>
    <t>警方(原作向)-警探</t>
    <phoneticPr fontId="2" type="noConversion"/>
  </si>
  <si>
    <t>警方(原作向)-巡警</t>
    <phoneticPr fontId="2" type="noConversion"/>
  </si>
  <si>
    <t>格斗（斗殴），射击，急救，一项社交技能（魅惑、话术、恐吓、说服），法律，心理学，侦查和下面的一种个人特长：汽车驾驶或骑乘。</t>
    <phoneticPr fontId="2" type="noConversion"/>
  </si>
  <si>
    <t>私家侦探</t>
    <phoneticPr fontId="2" type="noConversion"/>
  </si>
  <si>
    <t>教授（原作向）</t>
    <phoneticPr fontId="2" type="noConversion"/>
  </si>
  <si>
    <t>图书馆，外语，母语，心理学，任意四项其他学术、时代或个人特长。</t>
    <phoneticPr fontId="2" type="noConversion"/>
  </si>
  <si>
    <t>淘金客</t>
    <phoneticPr fontId="2" type="noConversion"/>
  </si>
  <si>
    <t>0-10</t>
    <phoneticPr fontId="2" type="noConversion"/>
  </si>
  <si>
    <t>性工作者</t>
    <phoneticPr fontId="2" type="noConversion"/>
  </si>
  <si>
    <t>5-50</t>
    <phoneticPr fontId="2" type="noConversion"/>
  </si>
  <si>
    <t>精神病学家</t>
    <phoneticPr fontId="2" type="noConversion"/>
  </si>
  <si>
    <t>心理学家、精神分析学家</t>
    <phoneticPr fontId="2" type="noConversion"/>
  </si>
  <si>
    <t>会计，图书馆，聆听，说服，精神分析，心理学，任意两项其他学术、个人或时代特长。</t>
    <phoneticPr fontId="2" type="noConversion"/>
  </si>
  <si>
    <t>研究员</t>
    <phoneticPr fontId="2" type="noConversion"/>
  </si>
  <si>
    <t>海员-军舰海员</t>
    <phoneticPr fontId="2" type="noConversion"/>
  </si>
  <si>
    <t>电工或机械维修，格斗，射击，急救，导航，驾驶（船），生存（海上），游泳。</t>
    <phoneticPr fontId="2" type="noConversion"/>
  </si>
  <si>
    <t>海员-民船海员</t>
    <phoneticPr fontId="2" type="noConversion"/>
  </si>
  <si>
    <t>推销员</t>
    <phoneticPr fontId="2" type="noConversion"/>
  </si>
  <si>
    <t>会计，两项社交技能（魅惑、话术、恐吓、说服），汽车驾驶，聆听，心理学，潜行或妙手，一项其他技能。</t>
    <phoneticPr fontId="2" type="noConversion"/>
  </si>
  <si>
    <t>科学家</t>
    <phoneticPr fontId="2" type="noConversion"/>
  </si>
  <si>
    <t>秘书</t>
    <phoneticPr fontId="2" type="noConversion"/>
  </si>
  <si>
    <t>店老板</t>
    <phoneticPr fontId="2" type="noConversion"/>
  </si>
  <si>
    <t>士兵、海军陆战队士兵</t>
    <phoneticPr fontId="2" type="noConversion"/>
  </si>
  <si>
    <t>攀爬或游泳，闪避，格斗，射击，潜行，生存，下面任选两项：急救、机械维修、外语。</t>
    <phoneticPr fontId="2" type="noConversion"/>
  </si>
  <si>
    <t>间谍</t>
    <phoneticPr fontId="2" type="noConversion"/>
  </si>
  <si>
    <t>学生、实习生</t>
    <phoneticPr fontId="2" type="noConversion"/>
  </si>
  <si>
    <t>5-10</t>
    <phoneticPr fontId="2" type="noConversion"/>
  </si>
  <si>
    <t>语言（母语或外语），图书馆，聆听，三个学习的专业，任意两项其他个人或时代特长。</t>
    <phoneticPr fontId="2" type="noConversion"/>
  </si>
  <si>
    <t>替身演员</t>
    <phoneticPr fontId="2" type="noConversion"/>
  </si>
  <si>
    <t>10-50</t>
    <phoneticPr fontId="2" type="noConversion"/>
  </si>
  <si>
    <t>部落成员</t>
    <phoneticPr fontId="2" type="noConversion"/>
  </si>
  <si>
    <t>殡葬师</t>
    <phoneticPr fontId="2" type="noConversion"/>
  </si>
  <si>
    <t>工会活动家</t>
    <phoneticPr fontId="2" type="noConversion"/>
  </si>
  <si>
    <t>会计，两项社交技能（魅惑、话术、恐吓、说服），格斗（斗殴），法律，聆听，操作重型机械，心理学。</t>
    <phoneticPr fontId="2" type="noConversion"/>
  </si>
  <si>
    <t>服务生</t>
    <phoneticPr fontId="2" type="noConversion"/>
  </si>
  <si>
    <t>白领工人-职员、主管</t>
    <phoneticPr fontId="2" type="noConversion"/>
  </si>
  <si>
    <t>会计，语言，法律，图书馆或计算机，聆听，一项社交技能（魅惑、话术、恐吓、说服），任意两项其他个人或时代特长。</t>
    <phoneticPr fontId="2" type="noConversion"/>
  </si>
  <si>
    <t>白领工人-中高层管理人员</t>
    <phoneticPr fontId="2" type="noConversion"/>
  </si>
  <si>
    <t>20-80</t>
    <phoneticPr fontId="2" type="noConversion"/>
  </si>
  <si>
    <t>狂热者</t>
    <phoneticPr fontId="2" type="noConversion"/>
  </si>
  <si>
    <t>历史，两项社交技能（魅惑、话术、恐吓、说服），心理学，潜行，任意三项其他个人或时代特长。</t>
    <phoneticPr fontId="2" type="noConversion"/>
  </si>
  <si>
    <t>饲养员</t>
    <phoneticPr fontId="2" type="noConversion"/>
  </si>
  <si>
    <r>
      <t>教育×</t>
    </r>
    <r>
      <rPr>
        <sz val="10.5"/>
        <color theme="1"/>
        <rFont val="微软雅黑 Light"/>
        <family val="2"/>
        <charset val="134"/>
      </rPr>
      <t>2＋外貌×2</t>
    </r>
    <phoneticPr fontId="2" type="noConversion"/>
  </si>
  <si>
    <r>
      <t>教育×</t>
    </r>
    <r>
      <rPr>
        <sz val="10.5"/>
        <color theme="1"/>
        <rFont val="微软雅黑 Light"/>
        <family val="2"/>
        <charset val="134"/>
      </rPr>
      <t>2＋敏捷×2</t>
    </r>
    <phoneticPr fontId="2" type="noConversion"/>
  </si>
  <si>
    <r>
      <t>教育×</t>
    </r>
    <r>
      <rPr>
        <sz val="10.5"/>
        <color theme="1"/>
        <rFont val="微软雅黑 Light"/>
        <family val="2"/>
        <charset val="134"/>
      </rPr>
      <t>2＋力量×2</t>
    </r>
    <phoneticPr fontId="2" type="noConversion"/>
  </si>
  <si>
    <r>
      <t>教育×</t>
    </r>
    <r>
      <rPr>
        <sz val="10.5"/>
        <color theme="1"/>
        <rFont val="微软雅黑 Light"/>
        <family val="2"/>
        <charset val="134"/>
      </rPr>
      <t>4</t>
    </r>
    <phoneticPr fontId="2" type="noConversion"/>
  </si>
  <si>
    <t>0-15</t>
    <phoneticPr fontId="2" type="noConversion"/>
  </si>
  <si>
    <t>人类学，历史，图书馆，一项社交技能（魅惑、话术、恐吓、说服），神秘学，外语，科学（天文），任意一项其他个人或时代特长 ※经KP允许 可以包含克苏鲁神话</t>
    <phoneticPr fontId="2" type="noConversion"/>
  </si>
  <si>
    <t>罪犯-赝造者</t>
    <phoneticPr fontId="2" type="noConversion"/>
  </si>
  <si>
    <t>鞭子</t>
    <phoneticPr fontId="2" type="noConversion"/>
  </si>
  <si>
    <t>电锯</t>
    <phoneticPr fontId="2" type="noConversion"/>
  </si>
  <si>
    <t>斧</t>
    <phoneticPr fontId="2" type="noConversion"/>
  </si>
  <si>
    <t>属性</t>
    <phoneticPr fontId="2" type="noConversion"/>
  </si>
  <si>
    <t>住地</t>
    <phoneticPr fontId="2" type="noConversion"/>
  </si>
  <si>
    <t>快速参考规则</t>
    <phoneticPr fontId="2" type="noConversion"/>
  </si>
  <si>
    <t>艺术家</t>
    <phoneticPr fontId="2" type="noConversion"/>
  </si>
  <si>
    <t>技能和属性检定
成功等级</t>
    <phoneticPr fontId="2" type="noConversion"/>
  </si>
  <si>
    <t>会计，法律，图书馆，聆听，说服，侦查，任意其他两项个人或时代特长。</t>
    <phoneticPr fontId="2" type="noConversion"/>
  </si>
  <si>
    <t>[医学]回复1D3点体力</t>
    <phoneticPr fontId="2" type="noConversion"/>
  </si>
  <si>
    <t>0/96+</t>
    <phoneticPr fontId="2" type="noConversion"/>
  </si>
  <si>
    <t>人类学</t>
  </si>
  <si>
    <t>估价</t>
  </si>
  <si>
    <t>考古学</t>
  </si>
  <si>
    <t>魅惑</t>
  </si>
  <si>
    <t>攀爬</t>
  </si>
  <si>
    <t>克苏鲁神话</t>
  </si>
  <si>
    <t>乔装</t>
  </si>
  <si>
    <t>闪避</t>
  </si>
  <si>
    <t>电气维修</t>
  </si>
  <si>
    <t>话术</t>
  </si>
  <si>
    <t>急救</t>
  </si>
  <si>
    <t>历史</t>
  </si>
  <si>
    <t>恐吓</t>
  </si>
  <si>
    <t>跳跃</t>
  </si>
  <si>
    <t>聆听</t>
    <phoneticPr fontId="2" type="noConversion"/>
  </si>
  <si>
    <t>锁匠</t>
    <phoneticPr fontId="2" type="noConversion"/>
  </si>
  <si>
    <t>机械维修</t>
    <phoneticPr fontId="2" type="noConversion"/>
  </si>
  <si>
    <t>医学</t>
    <phoneticPr fontId="2" type="noConversion"/>
  </si>
  <si>
    <t>领航</t>
    <phoneticPr fontId="2" type="noConversion"/>
  </si>
  <si>
    <t>神秘学</t>
    <phoneticPr fontId="2" type="noConversion"/>
  </si>
  <si>
    <t>操作重型机械</t>
    <phoneticPr fontId="2" type="noConversion"/>
  </si>
  <si>
    <t>精神分析</t>
    <phoneticPr fontId="2" type="noConversion"/>
  </si>
  <si>
    <t>心理学</t>
    <phoneticPr fontId="2" type="noConversion"/>
  </si>
  <si>
    <t>骑术</t>
    <phoneticPr fontId="2" type="noConversion"/>
  </si>
  <si>
    <t>追踪</t>
    <phoneticPr fontId="2" type="noConversion"/>
  </si>
  <si>
    <t>妙手</t>
    <phoneticPr fontId="2" type="noConversion"/>
  </si>
  <si>
    <t>潜行</t>
    <phoneticPr fontId="2" type="noConversion"/>
  </si>
  <si>
    <t>游泳</t>
    <phoneticPr fontId="2" type="noConversion"/>
  </si>
  <si>
    <t>投掷</t>
    <phoneticPr fontId="2" type="noConversion"/>
  </si>
  <si>
    <t>步枪/霰弹枪</t>
  </si>
  <si>
    <t>技艺:</t>
    <phoneticPr fontId="2" type="noConversion"/>
  </si>
  <si>
    <t>格斗:</t>
    <phoneticPr fontId="2" type="noConversion"/>
  </si>
  <si>
    <t>射击:</t>
    <phoneticPr fontId="2" type="noConversion"/>
  </si>
  <si>
    <t>科学:</t>
    <phoneticPr fontId="2" type="noConversion"/>
  </si>
  <si>
    <t>驾驶:</t>
    <phoneticPr fontId="2" type="noConversion"/>
  </si>
  <si>
    <t>母语:</t>
    <phoneticPr fontId="2" type="noConversion"/>
  </si>
  <si>
    <t>调查员信息</t>
    <phoneticPr fontId="2" type="noConversion"/>
  </si>
  <si>
    <t>次数</t>
    <phoneticPr fontId="2" type="noConversion"/>
  </si>
  <si>
    <t>射程</t>
    <phoneticPr fontId="2" type="noConversion"/>
  </si>
  <si>
    <t>伤害</t>
    <phoneticPr fontId="2" type="noConversion"/>
  </si>
  <si>
    <t>业余艺术爱好者（原作向）</t>
    <phoneticPr fontId="2" type="noConversion"/>
  </si>
  <si>
    <t>意义非凡之地</t>
    <phoneticPr fontId="2" type="noConversion"/>
  </si>
  <si>
    <t>伤口和疤痕</t>
    <phoneticPr fontId="2" type="noConversion"/>
  </si>
  <si>
    <t>恐惧症和狂躁症</t>
    <phoneticPr fontId="2" type="noConversion"/>
  </si>
  <si>
    <t>第三类接触</t>
    <phoneticPr fontId="2" type="noConversion"/>
  </si>
  <si>
    <t>调查员同伴</t>
    <phoneticPr fontId="2" type="noConversion"/>
  </si>
  <si>
    <t>弓</t>
    <phoneticPr fontId="2" type="noConversion"/>
  </si>
  <si>
    <t>步枪/霰弹枪</t>
    <phoneticPr fontId="2" type="noConversion"/>
  </si>
  <si>
    <t>1D3+DB</t>
    <phoneticPr fontId="2" type="noConversion"/>
  </si>
  <si>
    <t>潜水</t>
  </si>
  <si>
    <t>调整值</t>
    <phoneticPr fontId="2" type="noConversion"/>
  </si>
  <si>
    <r>
      <t xml:space="preserve">力量
</t>
    </r>
    <r>
      <rPr>
        <sz val="8"/>
        <color theme="1"/>
        <rFont val="微软雅黑"/>
        <family val="2"/>
        <charset val="134"/>
      </rPr>
      <t>STR</t>
    </r>
    <phoneticPr fontId="2" type="noConversion"/>
  </si>
  <si>
    <r>
      <t xml:space="preserve">体质
</t>
    </r>
    <r>
      <rPr>
        <sz val="8"/>
        <color theme="1"/>
        <rFont val="微软雅黑"/>
        <family val="2"/>
        <charset val="134"/>
      </rPr>
      <t>CON</t>
    </r>
    <phoneticPr fontId="2" type="noConversion"/>
  </si>
  <si>
    <r>
      <t xml:space="preserve">敏捷
</t>
    </r>
    <r>
      <rPr>
        <sz val="8"/>
        <color theme="1"/>
        <rFont val="微软雅黑"/>
        <family val="2"/>
        <charset val="134"/>
      </rPr>
      <t>DEX</t>
    </r>
    <phoneticPr fontId="2" type="noConversion"/>
  </si>
  <si>
    <r>
      <t xml:space="preserve">伤害加值
</t>
    </r>
    <r>
      <rPr>
        <sz val="8"/>
        <color theme="1"/>
        <rFont val="微软雅黑"/>
        <family val="2"/>
        <charset val="134"/>
      </rPr>
      <t>Damage Bonus</t>
    </r>
    <phoneticPr fontId="2" type="noConversion"/>
  </si>
  <si>
    <r>
      <t xml:space="preserve">体格
</t>
    </r>
    <r>
      <rPr>
        <sz val="8"/>
        <color theme="1"/>
        <rFont val="微软雅黑"/>
        <family val="2"/>
        <charset val="134"/>
      </rPr>
      <t>Build</t>
    </r>
    <phoneticPr fontId="2" type="noConversion"/>
  </si>
  <si>
    <t>宝贵之物</t>
    <phoneticPr fontId="2" type="noConversion"/>
  </si>
  <si>
    <t>思想与信念</t>
    <phoneticPr fontId="2" type="noConversion"/>
  </si>
  <si>
    <t>重要之人</t>
    <phoneticPr fontId="2" type="noConversion"/>
  </si>
  <si>
    <t>特质</t>
    <phoneticPr fontId="2" type="noConversion"/>
  </si>
  <si>
    <t>生存:</t>
    <phoneticPr fontId="2" type="noConversion"/>
  </si>
  <si>
    <t>STR+SIZ</t>
    <phoneticPr fontId="2" type="noConversion"/>
  </si>
  <si>
    <t>DB</t>
    <phoneticPr fontId="2" type="noConversion"/>
  </si>
  <si>
    <t>错误</t>
    <phoneticPr fontId="2" type="noConversion"/>
  </si>
  <si>
    <t>技艺（艺术或摄影），一项社交技能（魅惑、话术、恐吓、说服），历史，图书馆，母语，心理学，任意两项其他个人或时代特长。</t>
    <phoneticPr fontId="2" type="noConversion"/>
  </si>
  <si>
    <t>技能名称</t>
    <phoneticPr fontId="2" type="noConversion"/>
  </si>
  <si>
    <t>D4</t>
    <phoneticPr fontId="2" type="noConversion"/>
  </si>
  <si>
    <t>D6</t>
    <phoneticPr fontId="2" type="noConversion"/>
  </si>
  <si>
    <t>D10</t>
    <phoneticPr fontId="2" type="noConversion"/>
  </si>
  <si>
    <t>D100</t>
    <phoneticPr fontId="2" type="noConversion"/>
  </si>
  <si>
    <t>D20</t>
    <phoneticPr fontId="2" type="noConversion"/>
  </si>
  <si>
    <t>多面骰</t>
    <phoneticPr fontId="2" type="noConversion"/>
  </si>
  <si>
    <t>D2</t>
    <phoneticPr fontId="2" type="noConversion"/>
  </si>
  <si>
    <t>D8</t>
    <phoneticPr fontId="2" type="noConversion"/>
  </si>
  <si>
    <t>+1D4</t>
    <phoneticPr fontId="2" type="noConversion"/>
  </si>
  <si>
    <t>+1D6</t>
    <phoneticPr fontId="2" type="noConversion"/>
  </si>
  <si>
    <t>+2D6</t>
    <phoneticPr fontId="2" type="noConversion"/>
  </si>
  <si>
    <t>+3D6</t>
    <phoneticPr fontId="2" type="noConversion"/>
  </si>
  <si>
    <t>+4D6</t>
    <phoneticPr fontId="2" type="noConversion"/>
  </si>
  <si>
    <t>+5D6</t>
    <phoneticPr fontId="2" type="noConversion"/>
  </si>
  <si>
    <t>+6D6</t>
    <phoneticPr fontId="2" type="noConversion"/>
  </si>
  <si>
    <t>+7D6</t>
    <phoneticPr fontId="2" type="noConversion"/>
  </si>
  <si>
    <t>+8D6</t>
    <phoneticPr fontId="2" type="noConversion"/>
  </si>
  <si>
    <t>+9D6</t>
    <phoneticPr fontId="2" type="noConversion"/>
  </si>
  <si>
    <t>+10D6</t>
    <phoneticPr fontId="2" type="noConversion"/>
  </si>
  <si>
    <t>+11D6</t>
    <phoneticPr fontId="2" type="noConversion"/>
  </si>
  <si>
    <t>+12D6</t>
    <phoneticPr fontId="2" type="noConversion"/>
  </si>
  <si>
    <t>+13D6</t>
    <phoneticPr fontId="2" type="noConversion"/>
  </si>
  <si>
    <t>+14D6</t>
    <phoneticPr fontId="2" type="noConversion"/>
  </si>
  <si>
    <t>+15D6</t>
    <phoneticPr fontId="2" type="noConversion"/>
  </si>
  <si>
    <t>+16D6</t>
    <phoneticPr fontId="2" type="noConversion"/>
  </si>
  <si>
    <t>+17D6</t>
    <phoneticPr fontId="2" type="noConversion"/>
  </si>
  <si>
    <t>+18D6</t>
    <phoneticPr fontId="2" type="noConversion"/>
  </si>
  <si>
    <t>+19D6</t>
    <phoneticPr fontId="2" type="noConversion"/>
  </si>
  <si>
    <t>+20D6</t>
    <phoneticPr fontId="2" type="noConversion"/>
  </si>
  <si>
    <t>+21D6</t>
    <phoneticPr fontId="2" type="noConversion"/>
  </si>
  <si>
    <t>+22D6</t>
    <phoneticPr fontId="2" type="noConversion"/>
  </si>
  <si>
    <t>+23D6</t>
    <phoneticPr fontId="2" type="noConversion"/>
  </si>
  <si>
    <t>+24D6</t>
    <phoneticPr fontId="2" type="noConversion"/>
  </si>
  <si>
    <t>+25D6</t>
    <phoneticPr fontId="2" type="noConversion"/>
  </si>
  <si>
    <t>+26D6</t>
    <phoneticPr fontId="2" type="noConversion"/>
  </si>
  <si>
    <t>Build</t>
    <phoneticPr fontId="2" type="noConversion"/>
  </si>
  <si>
    <t>MOV减值</t>
    <phoneticPr fontId="2" type="noConversion"/>
  </si>
  <si>
    <t>STR</t>
    <phoneticPr fontId="2" type="noConversion"/>
  </si>
  <si>
    <t>DEX</t>
    <phoneticPr fontId="2" type="noConversion"/>
  </si>
  <si>
    <t>判断MOV</t>
    <phoneticPr fontId="2" type="noConversion"/>
  </si>
  <si>
    <t>剑</t>
  </si>
  <si>
    <t>信用评级</t>
    <phoneticPr fontId="2" type="noConversion"/>
  </si>
  <si>
    <t>会计</t>
    <phoneticPr fontId="2" type="noConversion"/>
  </si>
  <si>
    <t>图书馆使用</t>
    <phoneticPr fontId="2" type="noConversion"/>
  </si>
  <si>
    <t>SIZ</t>
    <phoneticPr fontId="2" type="noConversion"/>
  </si>
  <si>
    <t>STR&gt;SIZ?</t>
    <phoneticPr fontId="2" type="noConversion"/>
  </si>
  <si>
    <t>DEX&gt;SIZ?</t>
    <phoneticPr fontId="2" type="noConversion"/>
  </si>
  <si>
    <t>STR&lt;SIZ?</t>
    <phoneticPr fontId="2" type="noConversion"/>
  </si>
  <si>
    <t>DEX&lt;SIZ?</t>
    <phoneticPr fontId="2" type="noConversion"/>
  </si>
  <si>
    <t>MOV=8？</t>
    <phoneticPr fontId="2" type="noConversion"/>
  </si>
  <si>
    <t>最终结果</t>
    <phoneticPr fontId="2" type="noConversion"/>
  </si>
  <si>
    <t>角色名称[玩家]：关系描述</t>
    <phoneticPr fontId="2" type="noConversion"/>
  </si>
  <si>
    <t>调查员笔记</t>
    <phoneticPr fontId="2" type="noConversion"/>
  </si>
  <si>
    <t>弹药</t>
    <phoneticPr fontId="2" type="noConversion"/>
  </si>
  <si>
    <r>
      <t xml:space="preserve">闪避
</t>
    </r>
    <r>
      <rPr>
        <sz val="8"/>
        <color theme="1"/>
        <rFont val="微软雅黑"/>
        <family val="2"/>
        <charset val="134"/>
      </rPr>
      <t>Dodge</t>
    </r>
    <phoneticPr fontId="2" type="noConversion"/>
  </si>
  <si>
    <t>语言:</t>
    <phoneticPr fontId="2" type="noConversion"/>
  </si>
  <si>
    <t>*护甲、职业模板、调查员笔记、调查员同伴、古籍咒文魔法物品和神话遭遇不会被输出。</t>
    <phoneticPr fontId="2" type="noConversion"/>
  </si>
  <si>
    <t>贯穿</t>
    <phoneticPr fontId="2" type="noConversion"/>
  </si>
  <si>
    <t>博物学</t>
    <phoneticPr fontId="2" type="noConversion"/>
  </si>
  <si>
    <t>☐</t>
  </si>
  <si>
    <t>音乐</t>
    <phoneticPr fontId="2" type="noConversion"/>
  </si>
  <si>
    <t>厨艺</t>
    <phoneticPr fontId="2" type="noConversion"/>
  </si>
  <si>
    <t>读唇</t>
    <phoneticPr fontId="2" type="noConversion"/>
  </si>
  <si>
    <t>绞索</t>
    <phoneticPr fontId="2" type="noConversion"/>
  </si>
  <si>
    <r>
      <t xml:space="preserve">外貌
</t>
    </r>
    <r>
      <rPr>
        <sz val="8"/>
        <color theme="1"/>
        <rFont val="微软雅黑"/>
        <family val="2"/>
        <charset val="134"/>
      </rPr>
      <t>APP</t>
    </r>
    <phoneticPr fontId="2" type="noConversion"/>
  </si>
  <si>
    <t>药学</t>
    <phoneticPr fontId="2" type="noConversion"/>
  </si>
  <si>
    <t>—————————资产—————————</t>
    <phoneticPr fontId="2" type="noConversion"/>
  </si>
  <si>
    <t>—————————战斗—————————</t>
    <phoneticPr fontId="2" type="noConversion"/>
  </si>
  <si>
    <t>—————————技能—————————</t>
    <phoneticPr fontId="2" type="noConversion"/>
  </si>
  <si>
    <t>————————背景故事————————</t>
    <phoneticPr fontId="2" type="noConversion"/>
  </si>
  <si>
    <t>————————————————————</t>
    <phoneticPr fontId="2" type="noConversion"/>
  </si>
  <si>
    <t>写作</t>
    <phoneticPr fontId="2" type="noConversion"/>
  </si>
  <si>
    <t>表演</t>
    <phoneticPr fontId="2" type="noConversion"/>
  </si>
  <si>
    <t>木匠</t>
    <phoneticPr fontId="2" type="noConversion"/>
  </si>
  <si>
    <t>莫里斯舞蹈</t>
    <phoneticPr fontId="2" type="noConversion"/>
  </si>
  <si>
    <t>粉刷/油漆工</t>
    <phoneticPr fontId="2" type="noConversion"/>
  </si>
  <si>
    <t>雕塑</t>
    <phoneticPr fontId="2" type="noConversion"/>
  </si>
  <si>
    <t>书法</t>
    <phoneticPr fontId="2" type="noConversion"/>
  </si>
  <si>
    <t>理发</t>
    <phoneticPr fontId="2" type="noConversion"/>
  </si>
  <si>
    <t>舞蹈</t>
    <phoneticPr fontId="2" type="noConversion"/>
  </si>
  <si>
    <t>歌剧演唱</t>
    <phoneticPr fontId="2" type="noConversion"/>
  </si>
  <si>
    <t>制陶</t>
    <phoneticPr fontId="2" type="noConversion"/>
  </si>
  <si>
    <t>艺术与手艺</t>
    <phoneticPr fontId="2" type="noConversion"/>
  </si>
  <si>
    <t>司法科学</t>
    <phoneticPr fontId="2" type="noConversion"/>
  </si>
  <si>
    <t>伪造文书</t>
    <phoneticPr fontId="2" type="noConversion"/>
  </si>
  <si>
    <t>爆破</t>
    <phoneticPr fontId="2" type="noConversion"/>
  </si>
  <si>
    <t>炮术</t>
    <phoneticPr fontId="2" type="noConversion"/>
  </si>
  <si>
    <t>潜水</t>
    <phoneticPr fontId="2" type="noConversion"/>
  </si>
  <si>
    <t>徒手格斗</t>
    <phoneticPr fontId="2" type="noConversion"/>
  </si>
  <si>
    <t>Produced by Lost_Akiba   果园ID：秋叶EXODUS    群号：228689392</t>
    <phoneticPr fontId="2" type="noConversion"/>
  </si>
  <si>
    <t>与1</t>
    <phoneticPr fontId="2" type="noConversion"/>
  </si>
  <si>
    <t>与2</t>
    <phoneticPr fontId="2" type="noConversion"/>
  </si>
  <si>
    <t>非3</t>
    <phoneticPr fontId="2" type="noConversion"/>
  </si>
  <si>
    <t>MOV=9？</t>
    <phoneticPr fontId="2" type="noConversion"/>
  </si>
  <si>
    <t>MOV=7？</t>
    <phoneticPr fontId="2" type="noConversion"/>
  </si>
  <si>
    <t>催眠</t>
    <phoneticPr fontId="2" type="noConversion"/>
  </si>
  <si>
    <t>驯兽</t>
    <phoneticPr fontId="2" type="noConversion"/>
  </si>
  <si>
    <t>×</t>
  </si>
  <si>
    <t>机枪</t>
    <phoneticPr fontId="2" type="noConversion"/>
  </si>
  <si>
    <t>2</t>
    <phoneticPr fontId="2" type="noConversion"/>
  </si>
  <si>
    <t>生活水平</t>
    <phoneticPr fontId="2" type="noConversion"/>
  </si>
  <si>
    <t>现金</t>
    <phoneticPr fontId="2" type="noConversion"/>
  </si>
  <si>
    <t>其它资产</t>
    <phoneticPr fontId="2" type="noConversion"/>
  </si>
  <si>
    <t>消费水平</t>
    <phoneticPr fontId="2" type="noConversion"/>
  </si>
  <si>
    <t>身无分文</t>
    <phoneticPr fontId="2" type="noConversion"/>
  </si>
  <si>
    <t>贫穷</t>
    <phoneticPr fontId="2" type="noConversion"/>
  </si>
  <si>
    <t>标准</t>
    <phoneticPr fontId="2" type="noConversion"/>
  </si>
  <si>
    <t>小康</t>
    <phoneticPr fontId="2" type="noConversion"/>
  </si>
  <si>
    <t>富裕</t>
    <phoneticPr fontId="2" type="noConversion"/>
  </si>
  <si>
    <t>富豪</t>
    <phoneticPr fontId="2" type="noConversion"/>
  </si>
  <si>
    <t>1-9</t>
    <phoneticPr fontId="2" type="noConversion"/>
  </si>
  <si>
    <t>10-49</t>
    <phoneticPr fontId="2" type="noConversion"/>
  </si>
  <si>
    <t>0</t>
    <phoneticPr fontId="2" type="noConversion"/>
  </si>
  <si>
    <t>50-89</t>
    <phoneticPr fontId="2" type="noConversion"/>
  </si>
  <si>
    <t>90-98</t>
    <phoneticPr fontId="2" type="noConversion"/>
  </si>
  <si>
    <t>99</t>
    <phoneticPr fontId="2" type="noConversion"/>
  </si>
  <si>
    <t>CR × 1</t>
    <phoneticPr fontId="2" type="noConversion"/>
  </si>
  <si>
    <t>CR × 10</t>
    <phoneticPr fontId="2" type="noConversion"/>
  </si>
  <si>
    <t>0.5</t>
    <phoneticPr fontId="2" type="noConversion"/>
  </si>
  <si>
    <t>CR × 2</t>
    <phoneticPr fontId="2" type="noConversion"/>
  </si>
  <si>
    <t>CR × 5</t>
    <phoneticPr fontId="2" type="noConversion"/>
  </si>
  <si>
    <t>CR × 20</t>
    <phoneticPr fontId="2" type="noConversion"/>
  </si>
  <si>
    <t>50000</t>
    <phoneticPr fontId="2" type="noConversion"/>
  </si>
  <si>
    <t>CR × 50</t>
    <phoneticPr fontId="2" type="noConversion"/>
  </si>
  <si>
    <t>CR × 500</t>
    <phoneticPr fontId="2" type="noConversion"/>
  </si>
  <si>
    <t>CR × 2000</t>
    <phoneticPr fontId="2" type="noConversion"/>
  </si>
  <si>
    <t>5M+</t>
    <phoneticPr fontId="2" type="noConversion"/>
  </si>
  <si>
    <t>10</t>
    <phoneticPr fontId="2" type="noConversion"/>
  </si>
  <si>
    <t>50</t>
    <phoneticPr fontId="2" type="noConversion"/>
  </si>
  <si>
    <t>250</t>
    <phoneticPr fontId="2" type="noConversion"/>
  </si>
  <si>
    <t>5000</t>
    <phoneticPr fontId="2" type="noConversion"/>
  </si>
  <si>
    <t xml:space="preserve">   1920s 美国($)</t>
    <phoneticPr fontId="2" type="noConversion"/>
  </si>
  <si>
    <t>CR × 40</t>
    <phoneticPr fontId="2" type="noConversion"/>
  </si>
  <si>
    <t>CR × 100</t>
    <phoneticPr fontId="2" type="noConversion"/>
  </si>
  <si>
    <t>CR × 200</t>
    <phoneticPr fontId="2" type="noConversion"/>
  </si>
  <si>
    <t>1M</t>
    <phoneticPr fontId="2" type="noConversion"/>
  </si>
  <si>
    <t>CR × 1000</t>
    <phoneticPr fontId="2" type="noConversion"/>
  </si>
  <si>
    <t>CR × 10000</t>
    <phoneticPr fontId="2" type="noConversion"/>
  </si>
  <si>
    <t>CR × 40000</t>
    <phoneticPr fontId="2" type="noConversion"/>
  </si>
  <si>
    <t>100M+</t>
    <phoneticPr fontId="2" type="noConversion"/>
  </si>
  <si>
    <t>40</t>
    <phoneticPr fontId="2" type="noConversion"/>
  </si>
  <si>
    <t>200</t>
    <phoneticPr fontId="2" type="noConversion"/>
  </si>
  <si>
    <t>1000</t>
    <phoneticPr fontId="2" type="noConversion"/>
  </si>
  <si>
    <t>100000</t>
    <phoneticPr fontId="2" type="noConversion"/>
  </si>
  <si>
    <t xml:space="preserve">   维多利亚时代 英国(￡)</t>
    <phoneticPr fontId="2" type="noConversion"/>
  </si>
  <si>
    <t>5先令</t>
    <phoneticPr fontId="2" type="noConversion"/>
  </si>
  <si>
    <t>5便士</t>
    <phoneticPr fontId="2" type="noConversion"/>
  </si>
  <si>
    <t>CR × 12</t>
    <phoneticPr fontId="2" type="noConversion"/>
  </si>
  <si>
    <t>150000</t>
    <phoneticPr fontId="2" type="noConversion"/>
  </si>
  <si>
    <t>300000+</t>
    <phoneticPr fontId="2" type="noConversion"/>
  </si>
  <si>
    <t>20先令</t>
    <phoneticPr fontId="2" type="noConversion"/>
  </si>
  <si>
    <t>15</t>
    <phoneticPr fontId="2" type="noConversion"/>
  </si>
  <si>
    <r>
      <t>来自泡泡百科的</t>
    </r>
    <r>
      <rPr>
        <b/>
        <sz val="11"/>
        <color rgb="FFFF0000"/>
        <rFont val="微软雅黑"/>
        <family val="2"/>
        <charset val="134"/>
      </rPr>
      <t>房规</t>
    </r>
    <r>
      <rPr>
        <sz val="11"/>
        <rFont val="微软雅黑"/>
        <family val="2"/>
        <charset val="134"/>
      </rPr>
      <t>。</t>
    </r>
    <phoneticPr fontId="2" type="noConversion"/>
  </si>
  <si>
    <t>100</t>
    <phoneticPr fontId="2" type="noConversion"/>
  </si>
  <si>
    <t>CR × 3000</t>
    <phoneticPr fontId="2" type="noConversion"/>
  </si>
  <si>
    <t>100万</t>
    <phoneticPr fontId="2" type="noConversion"/>
  </si>
  <si>
    <t>CR × 5000</t>
    <phoneticPr fontId="2" type="noConversion"/>
  </si>
  <si>
    <t>CR × 4万</t>
    <phoneticPr fontId="2" type="noConversion"/>
  </si>
  <si>
    <t>CR × 25万</t>
    <phoneticPr fontId="2" type="noConversion"/>
  </si>
  <si>
    <t>10亿+</t>
    <phoneticPr fontId="2" type="noConversion"/>
  </si>
  <si>
    <t>2万</t>
    <phoneticPr fontId="2" type="noConversion"/>
  </si>
  <si>
    <t>10万</t>
    <phoneticPr fontId="2" type="noConversion"/>
  </si>
  <si>
    <t>30M</t>
    <phoneticPr fontId="2" type="noConversion"/>
  </si>
  <si>
    <t>CR × 2K</t>
    <phoneticPr fontId="2" type="noConversion"/>
  </si>
  <si>
    <t>CR × 4K</t>
    <phoneticPr fontId="2" type="noConversion"/>
  </si>
  <si>
    <t>CR × 12K</t>
    <phoneticPr fontId="2" type="noConversion"/>
  </si>
  <si>
    <t>CR × 75K</t>
    <phoneticPr fontId="2" type="noConversion"/>
  </si>
  <si>
    <t>CR × 20K</t>
    <phoneticPr fontId="2" type="noConversion"/>
  </si>
  <si>
    <t>CR × 150K</t>
    <phoneticPr fontId="2" type="noConversion"/>
  </si>
  <si>
    <t>CR × 1M</t>
    <phoneticPr fontId="2" type="noConversion"/>
  </si>
  <si>
    <t>CR × 6M</t>
    <phoneticPr fontId="2" type="noConversion"/>
  </si>
  <si>
    <t>30B+</t>
    <phoneticPr fontId="2" type="noConversion"/>
  </si>
  <si>
    <t>500</t>
    <phoneticPr fontId="2" type="noConversion"/>
  </si>
  <si>
    <t>2K</t>
    <phoneticPr fontId="2" type="noConversion"/>
  </si>
  <si>
    <t>25K</t>
    <phoneticPr fontId="2" type="noConversion"/>
  </si>
  <si>
    <t>100K</t>
    <phoneticPr fontId="2" type="noConversion"/>
  </si>
  <si>
    <t>500K</t>
    <phoneticPr fontId="2" type="noConversion"/>
  </si>
  <si>
    <t>2M</t>
    <phoneticPr fontId="2" type="noConversion"/>
  </si>
  <si>
    <t>来自核心规则。</t>
    <phoneticPr fontId="2" type="noConversion"/>
  </si>
  <si>
    <t>来自扩展书克苏鲁煤气灯。
12便士=1先令；20先令=1英镑(￡)</t>
    <phoneticPr fontId="2" type="noConversion"/>
  </si>
  <si>
    <t>2磅10先令</t>
    <phoneticPr fontId="2" type="noConversion"/>
  </si>
  <si>
    <t>01</t>
    <phoneticPr fontId="2" type="noConversion"/>
  </si>
  <si>
    <t>形象描述</t>
    <phoneticPr fontId="2" type="noConversion"/>
  </si>
  <si>
    <t>理智</t>
    <phoneticPr fontId="2" type="noConversion"/>
  </si>
  <si>
    <t>临时性</t>
    <phoneticPr fontId="2" type="noConversion"/>
  </si>
  <si>
    <t>不定性</t>
    <phoneticPr fontId="2" type="noConversion"/>
  </si>
  <si>
    <t>☐</t>
    <phoneticPr fontId="2" type="noConversion"/>
  </si>
  <si>
    <t>魔法</t>
    <phoneticPr fontId="2" type="noConversion"/>
  </si>
  <si>
    <r>
      <t xml:space="preserve">移动
</t>
    </r>
    <r>
      <rPr>
        <sz val="8"/>
        <color theme="1"/>
        <rFont val="微软雅黑"/>
        <family val="2"/>
        <charset val="134"/>
      </rPr>
      <t>MOV</t>
    </r>
    <phoneticPr fontId="2" type="noConversion"/>
  </si>
  <si>
    <t>成长</t>
    <phoneticPr fontId="2" type="noConversion"/>
  </si>
  <si>
    <r>
      <rPr>
        <sz val="10"/>
        <color theme="1"/>
        <rFont val="微软雅黑"/>
        <family val="2"/>
        <charset val="134"/>
      </rPr>
      <t>教育</t>
    </r>
    <r>
      <rPr>
        <sz val="8"/>
        <color theme="1"/>
        <rFont val="微软雅黑"/>
        <family val="2"/>
        <charset val="134"/>
      </rPr>
      <t xml:space="preserve">
EDU</t>
    </r>
    <phoneticPr fontId="2" type="noConversion"/>
  </si>
  <si>
    <r>
      <t xml:space="preserve">意志
</t>
    </r>
    <r>
      <rPr>
        <sz val="8"/>
        <color theme="1"/>
        <rFont val="微软雅黑"/>
        <family val="2"/>
        <charset val="134"/>
      </rPr>
      <t>POW</t>
    </r>
    <phoneticPr fontId="2" type="noConversion"/>
  </si>
  <si>
    <t>第一步：决定属性</t>
    <phoneticPr fontId="2" type="noConversion"/>
  </si>
  <si>
    <t>自动属性掷骰</t>
    <phoneticPr fontId="2" type="noConversion"/>
  </si>
  <si>
    <t>也可以使用这个自动属性掷骰得到的属性，截图保存并抄到左边的表格中。数据按F9刷新。</t>
    <phoneticPr fontId="2" type="noConversion"/>
  </si>
  <si>
    <r>
      <rPr>
        <sz val="10"/>
        <color theme="1"/>
        <rFont val="微软雅黑"/>
        <family val="2"/>
        <charset val="134"/>
      </rPr>
      <t>智力</t>
    </r>
    <r>
      <rPr>
        <sz val="9"/>
        <color theme="1"/>
        <rFont val="微软雅黑"/>
        <family val="2"/>
        <charset val="134"/>
      </rPr>
      <t xml:space="preserve">
</t>
    </r>
    <r>
      <rPr>
        <sz val="8"/>
        <color theme="1"/>
        <rFont val="微软雅黑"/>
        <family val="2"/>
        <charset val="134"/>
      </rPr>
      <t>INT</t>
    </r>
    <phoneticPr fontId="2" type="noConversion"/>
  </si>
  <si>
    <t>在开始之前……</t>
    <phoneticPr fontId="2" type="noConversion"/>
  </si>
  <si>
    <t>规则书的第三章中能找到建卡所需的一切规则。</t>
    <phoneticPr fontId="2" type="noConversion"/>
  </si>
  <si>
    <t>时代背景：</t>
    <phoneticPr fontId="2" type="noConversion"/>
  </si>
  <si>
    <t>出身</t>
    <phoneticPr fontId="2" type="noConversion"/>
  </si>
  <si>
    <t>第三步：决定技能</t>
    <phoneticPr fontId="2" type="noConversion"/>
  </si>
  <si>
    <t>第二步：决定职业</t>
    <phoneticPr fontId="2" type="noConversion"/>
  </si>
  <si>
    <t>职业序号：</t>
    <phoneticPr fontId="2" type="noConversion"/>
  </si>
  <si>
    <t>20-39岁：进行1次EDU增强检定。</t>
    <phoneticPr fontId="2" type="noConversion"/>
  </si>
  <si>
    <t>40-49岁：进行2次EDU增强检定。力量体质敏捷合计-5。外貌-5。</t>
    <phoneticPr fontId="2" type="noConversion"/>
  </si>
  <si>
    <t>15-19岁：力量和体型合计-5，EDU-5。决定幸运值时可掷骰2次，取较好值。</t>
    <phoneticPr fontId="2" type="noConversion"/>
  </si>
  <si>
    <t>50-59岁：进行3次EDU增强检定。力量体质敏捷合计-10。外貌-10。</t>
    <phoneticPr fontId="2" type="noConversion"/>
  </si>
  <si>
    <t>60-69岁：进行4次EDU增强检定。力量体质敏捷合计-20。外貌-15。</t>
    <phoneticPr fontId="2" type="noConversion"/>
  </si>
  <si>
    <t>70-79岁：进行4次EDU增强检定。力量体质敏捷合计-40。外貌-20。</t>
    <phoneticPr fontId="2" type="noConversion"/>
  </si>
  <si>
    <t>80-89岁：进行4次EDU增强检定。力量体质敏捷合计-80。外貌-25。</t>
    <phoneticPr fontId="2" type="noConversion"/>
  </si>
  <si>
    <r>
      <t xml:space="preserve">幸运
</t>
    </r>
    <r>
      <rPr>
        <sz val="8"/>
        <color theme="1"/>
        <rFont val="微软雅黑"/>
        <family val="2"/>
        <charset val="134"/>
      </rPr>
      <t>Luck</t>
    </r>
    <phoneticPr fontId="2" type="noConversion"/>
  </si>
  <si>
    <t>把得到的属性填写到下面的表中。</t>
    <phoneticPr fontId="2" type="noConversion"/>
  </si>
  <si>
    <t>伤害加值</t>
    <phoneticPr fontId="2" type="noConversion"/>
  </si>
  <si>
    <t>体格</t>
    <phoneticPr fontId="2" type="noConversion"/>
  </si>
  <si>
    <t>生命</t>
    <phoneticPr fontId="2" type="noConversion"/>
  </si>
  <si>
    <t>移动</t>
    <phoneticPr fontId="2" type="noConversion"/>
  </si>
  <si>
    <t>第四步：写出背景</t>
    <phoneticPr fontId="2" type="noConversion"/>
  </si>
  <si>
    <t xml:space="preserve">   现代(1990+) 美国($)</t>
    <phoneticPr fontId="2" type="noConversion"/>
  </si>
  <si>
    <t>在其中选择一个职业模板，将序号填写到下面的空格中，以便在下一步中自动计算技能点数。</t>
    <phoneticPr fontId="2" type="noConversion"/>
  </si>
  <si>
    <r>
      <t>为</t>
    </r>
    <r>
      <rPr>
        <b/>
        <sz val="10"/>
        <color rgb="FFC00000"/>
        <rFont val="微软雅黑"/>
        <family val="2"/>
        <charset val="134"/>
      </rPr>
      <t>STR、CON、DEX、APP和POW</t>
    </r>
    <r>
      <rPr>
        <sz val="10"/>
        <color theme="1"/>
        <rFont val="微软雅黑"/>
        <family val="2"/>
        <charset val="134"/>
      </rPr>
      <t>投掷</t>
    </r>
    <r>
      <rPr>
        <b/>
        <sz val="10"/>
        <color rgb="FFC00000"/>
        <rFont val="微软雅黑"/>
        <family val="2"/>
        <charset val="134"/>
      </rPr>
      <t>3D6×5</t>
    </r>
    <r>
      <rPr>
        <sz val="10"/>
        <color theme="1"/>
        <rFont val="微软雅黑"/>
        <family val="2"/>
        <charset val="134"/>
      </rPr>
      <t xml:space="preserve"> ；为</t>
    </r>
    <r>
      <rPr>
        <b/>
        <sz val="10"/>
        <color rgb="FFC00000"/>
        <rFont val="微软雅黑"/>
        <family val="2"/>
        <charset val="134"/>
      </rPr>
      <t>SIZ、EDU和INT</t>
    </r>
    <r>
      <rPr>
        <sz val="10"/>
        <color theme="1"/>
        <rFont val="微软雅黑"/>
        <family val="2"/>
        <charset val="134"/>
      </rPr>
      <t>投掷</t>
    </r>
    <r>
      <rPr>
        <b/>
        <sz val="10"/>
        <color rgb="FFC00000"/>
        <rFont val="微软雅黑"/>
        <family val="2"/>
        <charset val="134"/>
      </rPr>
      <t>(2D6+6)×5</t>
    </r>
    <phoneticPr fontId="2" type="noConversion"/>
  </si>
  <si>
    <r>
      <t xml:space="preserve">这些数字的意义，请参考守秘人规则书 3.1 </t>
    </r>
    <r>
      <rPr>
        <b/>
        <sz val="10"/>
        <color rgb="FFC00000"/>
        <rFont val="微软雅黑"/>
        <family val="2"/>
        <charset val="134"/>
      </rPr>
      <t>那些数字意味着什么</t>
    </r>
    <phoneticPr fontId="2" type="noConversion"/>
  </si>
  <si>
    <t xml:space="preserve"> ↓投掷3D6×5来决定幸运，把得到的数字填到下面最左侧的格子里，也可以使用中间的的自动幸运掷骰。其余衍生属性都会自动计算↓</t>
    <phoneticPr fontId="2" type="noConversion"/>
  </si>
  <si>
    <t>如果你愿意，可以在“背景故事”最下面的大空格中填写额外背景故事。</t>
    <phoneticPr fontId="2" type="noConversion"/>
  </si>
  <si>
    <t>第五步：决定装备</t>
    <phoneticPr fontId="2" type="noConversion"/>
  </si>
  <si>
    <t xml:space="preserve">   2010s 日本(￥)</t>
    <phoneticPr fontId="2" type="noConversion"/>
  </si>
  <si>
    <t xml:space="preserve">   2010s 中国(￥)</t>
    <phoneticPr fontId="2" type="noConversion"/>
  </si>
  <si>
    <t>建卡</t>
    <phoneticPr fontId="2" type="noConversion"/>
  </si>
  <si>
    <t>查看职业列表</t>
    <phoneticPr fontId="2" type="noConversion"/>
  </si>
  <si>
    <t>填写填写现金、消费水平和资产。</t>
    <phoneticPr fontId="2" type="noConversion"/>
  </si>
  <si>
    <t>填写调查员所携带的道具和物品等，并在现金或资产中扣除相应的费用。</t>
    <phoneticPr fontId="2" type="noConversion"/>
  </si>
  <si>
    <t>请查看“技能专攻”标签</t>
    <phoneticPr fontId="2" type="noConversion"/>
  </si>
  <si>
    <r>
      <t>智力</t>
    </r>
    <r>
      <rPr>
        <sz val="8"/>
        <color theme="1"/>
        <rFont val="微软雅黑"/>
        <family val="2"/>
        <charset val="134"/>
      </rPr>
      <t>INT</t>
    </r>
    <r>
      <rPr>
        <sz val="9"/>
        <color theme="1"/>
        <rFont val="微软雅黑"/>
        <family val="2"/>
        <charset val="134"/>
      </rPr>
      <t xml:space="preserve">
灵感</t>
    </r>
    <r>
      <rPr>
        <sz val="6"/>
        <color theme="1"/>
        <rFont val="微软雅黑"/>
        <family val="2"/>
        <charset val="134"/>
      </rPr>
      <t>idea</t>
    </r>
    <phoneticPr fontId="2" type="noConversion"/>
  </si>
  <si>
    <t>教育×2＋敏捷×2</t>
  </si>
  <si>
    <t>教育×2＋力量×2</t>
  </si>
  <si>
    <t>教育×2＋意志×2</t>
  </si>
  <si>
    <t>不多于8个本职技能。使用自定义职业前，请先咨询你的守秘人。请在左侧的职业属性中选择你想要的本职技能点计算方式，默认为教育×4。</t>
    <phoneticPr fontId="2" type="noConversion"/>
  </si>
  <si>
    <t>首先，你需要阅读规则书和调查员手册才能了解建卡的全部流程，你可以在下面的链接中找到他们。</t>
    <phoneticPr fontId="2" type="noConversion"/>
  </si>
  <si>
    <t>在开始建卡之前，请在下边的下拉选单中选择一个时代。</t>
    <phoneticPr fontId="2" type="noConversion"/>
  </si>
  <si>
    <t>把它们抄转至人物卡的“武器”部分。</t>
    <phoneticPr fontId="2" type="noConversion"/>
  </si>
  <si>
    <t>汽车驾驶</t>
    <phoneticPr fontId="2" type="noConversion"/>
  </si>
  <si>
    <t xml:space="preserve">    消费水平：</t>
    <phoneticPr fontId="2" type="noConversion"/>
  </si>
  <si>
    <t xml:space="preserve">   现金：</t>
    <phoneticPr fontId="2" type="noConversion"/>
  </si>
  <si>
    <t>最后……</t>
    <phoneticPr fontId="2" type="noConversion"/>
  </si>
  <si>
    <t>你可以填写在“调查员同伴”中填写有关你的队友的一些信息。</t>
    <phoneticPr fontId="2" type="noConversion"/>
  </si>
  <si>
    <t>转到“人物卡”标签，做最终检查，并交由你的守秘人审核。</t>
    <phoneticPr fontId="2" type="noConversion"/>
  </si>
  <si>
    <t xml:space="preserve"> 属性调整表可以在右侧找到↘</t>
    <phoneticPr fontId="2" type="noConversion"/>
  </si>
  <si>
    <t>年龄对MOV的减值会自动计算。</t>
    <phoneticPr fontId="2" type="noConversion"/>
  </si>
  <si>
    <t>像左侧这类被标记为绿色的单元格是需要留意的部分。</t>
    <phoneticPr fontId="2" type="noConversion"/>
  </si>
  <si>
    <r>
      <t>在游戏过程中，你不会再用到“建卡”标签中的任何内容，人物卡主体部分的所有可选择部分均可</t>
    </r>
    <r>
      <rPr>
        <b/>
        <sz val="10"/>
        <color theme="1"/>
        <rFont val="微软雅黑"/>
        <family val="2"/>
        <charset val="134"/>
      </rPr>
      <t>无视公式自行修改</t>
    </r>
    <r>
      <rPr>
        <sz val="10"/>
        <color theme="1"/>
        <rFont val="微软雅黑"/>
        <family val="2"/>
        <charset val="134"/>
      </rPr>
      <t>。</t>
    </r>
    <phoneticPr fontId="2" type="noConversion"/>
  </si>
  <si>
    <r>
      <t xml:space="preserve">生命
</t>
    </r>
    <r>
      <rPr>
        <sz val="8"/>
        <color theme="1"/>
        <rFont val="微软雅黑"/>
        <family val="2"/>
        <charset val="134"/>
      </rPr>
      <t>Hit  Points</t>
    </r>
    <phoneticPr fontId="2" type="noConversion"/>
  </si>
  <si>
    <r>
      <t xml:space="preserve">魔法
</t>
    </r>
    <r>
      <rPr>
        <sz val="8"/>
        <color theme="1"/>
        <rFont val="微软雅黑"/>
        <family val="2"/>
        <charset val="134"/>
      </rPr>
      <t>Magic Points</t>
    </r>
    <phoneticPr fontId="2" type="noConversion"/>
  </si>
  <si>
    <r>
      <t xml:space="preserve">理智
</t>
    </r>
    <r>
      <rPr>
        <sz val="8"/>
        <color theme="1"/>
        <rFont val="微软雅黑"/>
        <family val="2"/>
        <charset val="134"/>
      </rPr>
      <t>Sanity</t>
    </r>
    <phoneticPr fontId="2" type="noConversion"/>
  </si>
  <si>
    <t>如果使用“可选规则：有故事的调查员”，请在“人物卡”主卡中填写技能奖励值，扣减相应资源，并在调查员笔记中注明。</t>
    <phoneticPr fontId="2" type="noConversion"/>
  </si>
  <si>
    <t>这些衍生属性会自动计算</t>
    <phoneticPr fontId="2" type="noConversion"/>
  </si>
  <si>
    <t>点击这里返回“建卡”标签。</t>
    <phoneticPr fontId="2" type="noConversion"/>
  </si>
  <si>
    <r>
      <t>填写背景条目时，可以参考规则书 3.4的“</t>
    </r>
    <r>
      <rPr>
        <b/>
        <sz val="10"/>
        <color rgb="FFC00000"/>
        <rFont val="微软雅黑"/>
        <family val="2"/>
        <charset val="134"/>
      </rPr>
      <t>使用随机列表来获得灵感</t>
    </r>
    <r>
      <rPr>
        <sz val="10"/>
        <color theme="1"/>
        <rFont val="微软雅黑"/>
        <family val="2"/>
        <charset val="134"/>
      </rPr>
      <t>”部分。</t>
    </r>
    <phoneticPr fontId="2" type="noConversion"/>
  </si>
  <si>
    <r>
      <t>如果调查员需要携带武器， 请查看规则书或调查员手册</t>
    </r>
    <r>
      <rPr>
        <b/>
        <sz val="10"/>
        <color rgb="FFC00000"/>
        <rFont val="微软雅黑"/>
        <family val="2"/>
        <charset val="134"/>
      </rPr>
      <t>附录</t>
    </r>
    <r>
      <rPr>
        <sz val="10"/>
        <color theme="1"/>
        <rFont val="微软雅黑"/>
        <family val="2"/>
        <charset val="134"/>
      </rPr>
      <t>中的</t>
    </r>
    <r>
      <rPr>
        <b/>
        <sz val="10"/>
        <color rgb="FFC00000"/>
        <rFont val="微软雅黑"/>
        <family val="2"/>
        <charset val="134"/>
      </rPr>
      <t>武器表</t>
    </r>
    <r>
      <rPr>
        <sz val="10"/>
        <color theme="1"/>
        <rFont val="微软雅黑"/>
        <family val="2"/>
        <charset val="134"/>
      </rPr>
      <t>，确认武器的各项属性，</t>
    </r>
    <phoneticPr fontId="2" type="noConversion"/>
  </si>
  <si>
    <t>技艺（表演），乔装，格斗，历史，两项社交技能（魅惑、话术、恐吓、说服），心理学，任意一项其他个人或时代特长。</t>
    <phoneticPr fontId="2" type="noConversion"/>
  </si>
  <si>
    <t>技艺（表演），乔装，汽车驾驶，两项社交技能（魅惑、话术、恐吓、说服），心理学，任意两项其他个人或时代特长（如骑乘或格斗）。</t>
    <phoneticPr fontId="2" type="noConversion"/>
  </si>
  <si>
    <t>跳跃，聆听，博物学，心理学，科学（动物学），潜行，追踪，任意一项其他个人或时代特长。</t>
    <phoneticPr fontId="2" type="noConversion"/>
  </si>
  <si>
    <t>估价，技艺（任一），历史，图书馆，外语，一项社交技能（魅惑、话术、恐吓、说服），侦查，任意一项其他个人或时代特长。</t>
    <phoneticPr fontId="2" type="noConversion"/>
  </si>
  <si>
    <t>会计，估价，汽车驾驶，两项社交技能（魅惑、话术、恐吓、说服），历史，图书馆，导航。</t>
    <phoneticPr fontId="2" type="noConversion"/>
  </si>
  <si>
    <t>会计，技艺（技术制图），法律，母语，计算机或图书馆，说服，心理学，科学（数学）。</t>
    <phoneticPr fontId="2" type="noConversion"/>
  </si>
  <si>
    <t>技艺（任一），历史或博物学，一项社交技能（魅惑、话术、恐吓、说服），外语，心理学，侦查，任意两项其他个人或时代特长。</t>
    <phoneticPr fontId="2" type="noConversion"/>
  </si>
  <si>
    <t>闪避，格斗（斗殴），急救，两项社交技能（魅惑、话术、恐吓、说服），聆听，心理学，潜行。</t>
    <phoneticPr fontId="2" type="noConversion"/>
  </si>
  <si>
    <t>技艺（文学），历史，图书馆，博物学或神秘学，外语，母语，心理学，任意一项其他个人或时代特长。</t>
    <phoneticPr fontId="2" type="noConversion"/>
  </si>
  <si>
    <t>射击，聆听或侦查，博物学，导航，外语或生存（任一），科学（生物学或植物学），潜行，追踪。</t>
    <phoneticPr fontId="2" type="noConversion"/>
  </si>
  <si>
    <t>汽车驾驶，电子学或电气维修，格斗或射击，一项社交技能（魅惑、话术、恐吓、说服），法律，心理学，追踪，潜行。</t>
    <phoneticPr fontId="2" type="noConversion"/>
  </si>
  <si>
    <t>会计或估价，技艺（任一：如烹饪、裁缝、理发），急救，聆听，外语，心理学，侦查，任意一项其他个人或时代特长。</t>
    <phoneticPr fontId="2" type="noConversion"/>
  </si>
  <si>
    <t>计算机，电气维修，电子学、图书馆，科学（数学），侦查，任意两项其他个人或时代特长。</t>
    <phoneticPr fontId="2" type="noConversion"/>
  </si>
  <si>
    <t>计算机，电气维修，电子学，图书馆，侦查，一项社交技能（魅惑、话术、恐吓、说服），任意两项其他技能。</t>
    <phoneticPr fontId="2" type="noConversion"/>
  </si>
  <si>
    <t>闪避，格斗或射击，急救或博物学，跳跃，骑乘，生存（任一），投掷，追踪。</t>
    <phoneticPr fontId="2" type="noConversion"/>
  </si>
  <si>
    <t>会计，技艺（任二），机械维修，博物学，侦查，任意两项其他个人或时代特长。</t>
    <phoneticPr fontId="2" type="noConversion"/>
  </si>
  <si>
    <t>乔装，电气维修，格斗，射击，锁匠，机械维修，潜行，心理学。</t>
    <phoneticPr fontId="2" type="noConversion"/>
  </si>
  <si>
    <t>汽车驾驶，电气维修或机械维修，格斗，射击，恐吓，锁匠，操作重型机械，任意一项其他个人或时代特长。</t>
    <phoneticPr fontId="2" type="noConversion"/>
  </si>
  <si>
    <t>汽车驾驶，格斗，射击，两项社交技能（魅惑、话术、恐吓、说服），心理学，潜行，侦查。</t>
    <phoneticPr fontId="2" type="noConversion"/>
  </si>
  <si>
    <t>估价，攀爬，电气维修或机械维修，聆听，锁匠，妙手，潜行，侦查。</t>
    <phoneticPr fontId="2" type="noConversion"/>
  </si>
  <si>
    <t>估价，技艺（表演），法律或外语，聆听，两项社交技能（魅惑、话术、恐吓、说服），心理学，妙手。</t>
    <phoneticPr fontId="2" type="noConversion"/>
  </si>
  <si>
    <t>技艺（表演）或乔装，估价，一项社交技能（魅惑、话术、恐吓、说服），格斗或射击，锁匠或机械维修，潜行，心理学，侦查。</t>
    <phoneticPr fontId="2" type="noConversion"/>
  </si>
  <si>
    <t>技艺（任意），两项社交技能（魅惑、话术、恐吓、说服），格斗（斗殴）或射击（手枪），汽车驾驶，聆听，潜行，任意一项其他个人或时代特长。</t>
    <phoneticPr fontId="2" type="noConversion"/>
  </si>
  <si>
    <t>会计，估价，技艺（伪造），历史，一项社交技能（魅惑、话术、恐吓、说服），图书馆，侦查，任意一项其他技能。</t>
    <phoneticPr fontId="2" type="noConversion"/>
  </si>
  <si>
    <t>会计，估价，技艺（伪造），历史，图书馆，侦查，妙手，任意一项其他个人或时代特长（如计算机）。</t>
    <phoneticPr fontId="2" type="noConversion"/>
  </si>
  <si>
    <t>攀爬，一项社交技能（魅惑、话术、恐吓、说服），格斗，射击，跳跃，妙手，潜行，投掷。</t>
    <phoneticPr fontId="2" type="noConversion"/>
  </si>
  <si>
    <t>会计，技艺（摄影），技艺（任一），计算机或图书馆，机械维修，心理学，侦查，任意一项其他个人特长。</t>
    <phoneticPr fontId="2" type="noConversion"/>
  </si>
  <si>
    <t>技艺（任一），射击，外语，骑乘，一项社交技能（魅惑、话术、恐吓、说服），任意三项其他个人或时代特长。</t>
    <phoneticPr fontId="2" type="noConversion"/>
  </si>
  <si>
    <t>急救、医学、外语（拉丁文）、心理学、科学（生物学，制药），任两种其他学术或个人特长。</t>
    <phoneticPr fontId="2" type="noConversion"/>
  </si>
  <si>
    <t>汽车驾驶，两项社交技能（魅惑、话术、恐吓、说服），聆听，机械维修，导航，侦查，任意一项其他个人或时代特长。</t>
    <phoneticPr fontId="2" type="noConversion"/>
  </si>
  <si>
    <t>会计，汽车驾驶，电气维修，话术，机械维修，导航，侦查，任意一项其他个人或时代特长。</t>
    <phoneticPr fontId="2" type="noConversion"/>
  </si>
  <si>
    <t>魅惑，历史，恐吓，话术，聆听，母语，说服，心理学。</t>
    <phoneticPr fontId="2" type="noConversion"/>
  </si>
  <si>
    <t>技艺（技术制图），电气维修，图书馆，机械维修，操作重型机械，科学（工程学，物理），任意一项其他个人或时代特长。</t>
    <phoneticPr fontId="2" type="noConversion"/>
  </si>
  <si>
    <t>技艺（表演类，如表演、演唱、喜剧等），乔装，两项社交技能（魅惑、话术、恐吓、说服），聆听，心理学，任意两项其他个人或时代特长。</t>
    <phoneticPr fontId="2" type="noConversion"/>
  </si>
  <si>
    <t>攀爬或游泳，射击，历史，跳跃，博物学，导航，外语，生存。</t>
    <phoneticPr fontId="2" type="noConversion"/>
  </si>
  <si>
    <t>技艺（耕作），汽车驾驶（或运货马车），一项社交技能（魅惑、话术、恐吓、说服），机械维修，博物学，操作重型机械，追踪，任意一项其他个人或时代特长</t>
    <phoneticPr fontId="2" type="noConversion"/>
  </si>
  <si>
    <t>外语（拉丁文），图书馆，医学，说服，科学（生物学，鉴证，制药），侦查。</t>
    <phoneticPr fontId="2" type="noConversion"/>
  </si>
  <si>
    <t>会计，技艺（表演），两项社交技能（魅惑、话术、恐吓、说服），聆听，心理学，妙手，侦查。</t>
    <phoneticPr fontId="2" type="noConversion"/>
  </si>
  <si>
    <t>格斗，射击，法律，聆听，两项社交技能（魅惑、话术、恐吓、说服），心理学，侦查。</t>
    <phoneticPr fontId="2" type="noConversion"/>
  </si>
  <si>
    <t>技艺（任一），两项社交技能（魅惑、话术、恐吓、说服），射击（步枪/霰弹枪），历史，外语（任一），导航，骑乘。</t>
    <phoneticPr fontId="2" type="noConversion"/>
  </si>
  <si>
    <t>技艺（任一），攀爬，跳跃，聆听，锁匠或妙手，导航，潜行，任意一项其他个人或时代特长。</t>
    <phoneticPr fontId="2" type="noConversion"/>
  </si>
  <si>
    <t>电气维修，一项社交技能（魅惑、话术、恐吓、说服），格斗（斗殴），急救，聆听，机械维修，心理学，潜行。</t>
    <phoneticPr fontId="2" type="noConversion"/>
  </si>
  <si>
    <t>技艺（表演），历史，聆听，母语，一项社交技能（魅惑、话术、恐吓、说服），心理学，潜行，侦查。</t>
    <phoneticPr fontId="2" type="noConversion"/>
  </si>
  <si>
    <t>计算机或图书馆，电气维修，外语，科学（化学和任意两项），侦查，任意一项其他个人特长。</t>
    <phoneticPr fontId="2" type="noConversion"/>
  </si>
  <si>
    <t>工人-非熟练工人</t>
    <phoneticPr fontId="2" type="noConversion"/>
  </si>
  <si>
    <t>汽车驾驶，电气维修，格斗，急救，机械维修，操作重型机械，投掷，任意一项其他个人或时代特长。</t>
    <phoneticPr fontId="2" type="noConversion"/>
  </si>
  <si>
    <t>攀爬，闪避，格斗（链锯），急救，跳跃，机械维修，博物学或科学（生物学或植物学），投掷。</t>
    <phoneticPr fontId="2" type="noConversion"/>
  </si>
  <si>
    <t>攀爬，科学（地质），跳跃，机械维修，操作重型机械，潜行，侦查，任意一项其他个人或时代特长。</t>
    <phoneticPr fontId="2" type="noConversion"/>
  </si>
  <si>
    <t>会计，图书馆，外语，母语，任意四项其他个人特长或专业书籍主题。</t>
    <phoneticPr fontId="2" type="noConversion"/>
  </si>
  <si>
    <t>技艺（木工、焊接、管道工等），攀爬，汽车驾驶，电气维修，机械维修，操作重型机械，任意两项其他个人或时代或技术特长。</t>
    <phoneticPr fontId="2" type="noConversion"/>
  </si>
  <si>
    <t>会计，射击，导航，急救，两项社交技能（魅惑、话术、恐吓、说服），心理学，任意一项其他个人或时代特长。</t>
    <phoneticPr fontId="2" type="noConversion"/>
  </si>
  <si>
    <t>技艺（任一），急救，机械维修，医学，博物学，一项社交技能（魅惑、话术、恐吓、说服），任意两项其他个人或时代特长。</t>
    <phoneticPr fontId="2" type="noConversion"/>
  </si>
  <si>
    <t>攀爬，急救，跳跃，聆听，导航，外语，生存（阿尔卑斯或类似），追踪。</t>
    <phoneticPr fontId="2" type="noConversion"/>
  </si>
  <si>
    <t>技艺（乐器），一项社交技能（魅惑、话术、恐吓、说服），聆听，心理学，四项其他技能。</t>
    <phoneticPr fontId="2" type="noConversion"/>
  </si>
  <si>
    <t>射击，急救，聆听，博物学，导航，侦查，生存（任一），追踪。</t>
    <phoneticPr fontId="2" type="noConversion"/>
  </si>
  <si>
    <t>人类学，技艺（摄影），历史，图书馆，神秘学，外语，心理学，任意一项其他个人或时代特长。</t>
    <phoneticPr fontId="2" type="noConversion"/>
  </si>
  <si>
    <t>技艺（摄影），一项社交技能（魅惑、话术、恐吓、说服），心理学，科学（化学），潜行，侦查，任意两项其他个人或时代特长。</t>
    <phoneticPr fontId="2" type="noConversion"/>
  </si>
  <si>
    <t>技艺（摄影），攀爬，一项社交技能（魅惑、话术、恐吓、说服），外语，心理学，科学（化学），任意两项其他个人或时代特长。</t>
    <phoneticPr fontId="2" type="noConversion"/>
  </si>
  <si>
    <t>电气维修，机械维修，导航，操作重型机械，驾驶（飞行器），科学（天文），任意两项其他个人或时代特长。</t>
    <phoneticPr fontId="2" type="noConversion"/>
  </si>
  <si>
    <t>会计，电气维修，聆听，机械维修，导航，驾驶（飞行器），侦查，任意一项其他个人或时代特长。</t>
    <phoneticPr fontId="2" type="noConversion"/>
  </si>
  <si>
    <t>技艺（表演）或乔装，射击，法律，聆听，一项社交技能（魅惑、话术、恐吓、说服），心理学，侦查，一项其他技能。</t>
    <phoneticPr fontId="2" type="noConversion"/>
  </si>
  <si>
    <t>技艺（摄影），乔装，法律，图书馆，一项社交技能（魅惑、话术、恐吓、说服），心理学，侦查，一项其他个人或时代特长（如计算机、锁匠、格斗、射击）。</t>
    <phoneticPr fontId="2" type="noConversion"/>
  </si>
  <si>
    <t>攀爬、急救、历史、机械维修、导航、科学（地质），侦查，任意一项其他个人或时代特长。</t>
    <phoneticPr fontId="2" type="noConversion"/>
  </si>
  <si>
    <t>技艺（任一），两项社交技能（魅惑、话术、恐吓、说服），闪避，心理学，妙手，潜行，任意一项其他个人或时代特长。</t>
    <phoneticPr fontId="2" type="noConversion"/>
  </si>
  <si>
    <t>历史，图书馆，一项社交技能（魅惑、话术、恐吓、说服），外语，侦查，任意三项其他学术领域。</t>
    <phoneticPr fontId="2" type="noConversion"/>
  </si>
  <si>
    <t>急救，机械维修，博物学，导航，一项社交技能（魅惑、话术、恐吓、说服），驾驶（船），侦查，游泳。</t>
    <phoneticPr fontId="2" type="noConversion"/>
  </si>
  <si>
    <t>任意三项科学专业领域，计算机或图书馆，外语，母语，一项社交技能（魅惑、话术、恐吓、说服），侦查。</t>
    <phoneticPr fontId="2" type="noConversion"/>
  </si>
  <si>
    <t>会计，技艺（打字或速记），两项社交技能（魅惑、话术、恐吓、说服），母语，图书馆或计算机，心理学，任意一项其他个人或时代特长。</t>
    <phoneticPr fontId="2" type="noConversion"/>
  </si>
  <si>
    <t>会计，两项社交技能（魅惑、话术、恐吓、说服），电气维修，聆听，机械维修，心理学，侦查。</t>
    <phoneticPr fontId="2" type="noConversion"/>
  </si>
  <si>
    <t>技艺（表演）或乔装，射击，聆听，外语，一项社交技能（魅惑、话术、恐吓、说服），心理学，妙手，潜行。</t>
    <phoneticPr fontId="2" type="noConversion"/>
  </si>
  <si>
    <t>攀爬，闪避，电气维修或机械维修，格斗，急救，跳跃，游泳，下面任选一项：潜水、汽车驾驶、驾驶（任一），骑乘。</t>
    <phoneticPr fontId="2" type="noConversion"/>
  </si>
  <si>
    <t>攀爬，格斗或投掷，聆听，博物学，神秘学，侦查，游泳，生存（任一）。</t>
    <phoneticPr fontId="2" type="noConversion"/>
  </si>
  <si>
    <t>会计，汽车驾驶，一项社交技能（魅惑、话术、恐吓、说服），历史，神秘学，心理学，科学（生物学，化学）。</t>
    <phoneticPr fontId="2" type="noConversion"/>
  </si>
  <si>
    <t>会计，技艺（任一），闪避，聆听，两项社交技能（魅惑、话术、恐吓、说服），心理学，任意一项其他个人或时代特长。</t>
    <phoneticPr fontId="2" type="noConversion"/>
  </si>
  <si>
    <t>会计，外语，法律，两项社交技能（魅惑、话术、恐吓、说服），心理学，任意两项其他个人或时代特长。</t>
    <phoneticPr fontId="2" type="noConversion"/>
  </si>
  <si>
    <t>驯兽，会计，闪避，急救，博物学，医学，科学（制药，动物学）。</t>
    <phoneticPr fontId="2" type="noConversion"/>
  </si>
  <si>
    <t>教育×2＋力量或敏捷×2</t>
  </si>
  <si>
    <t>教育×2＋敏捷或外貌×2</t>
  </si>
  <si>
    <t>教育×2＋敏捷或意志×2</t>
  </si>
  <si>
    <t>教育×2＋外貌或意志×2</t>
  </si>
  <si>
    <t>对照“现金和资产表”来确定它们的数量</t>
    <phoneticPr fontId="2" type="noConversion"/>
  </si>
  <si>
    <r>
      <rPr>
        <b/>
        <sz val="12"/>
        <color theme="1"/>
        <rFont val="微软雅黑"/>
        <family val="2"/>
        <charset val="134"/>
      </rPr>
      <t>←点这个箭头</t>
    </r>
    <r>
      <rPr>
        <sz val="12"/>
        <color theme="1"/>
        <rFont val="微软雅黑"/>
        <family val="2"/>
        <charset val="134"/>
      </rPr>
      <t>，将滚动条拉到最底部，</t>
    </r>
    <r>
      <rPr>
        <b/>
        <sz val="12"/>
        <color rgb="FFC00000"/>
        <rFont val="微软雅黑"/>
        <family val="2"/>
        <charset val="134"/>
      </rPr>
      <t>去掉</t>
    </r>
    <r>
      <rPr>
        <sz val="12"/>
        <color theme="1"/>
        <rFont val="微软雅黑"/>
        <family val="2"/>
        <charset val="134"/>
      </rPr>
      <t>(空白)前的</t>
    </r>
    <r>
      <rPr>
        <b/>
        <sz val="12"/>
        <color rgb="FFC00000"/>
        <rFont val="微软雅黑"/>
        <family val="2"/>
        <charset val="134"/>
      </rPr>
      <t>复选框</t>
    </r>
    <r>
      <rPr>
        <sz val="12"/>
        <color theme="1"/>
        <rFont val="微软雅黑"/>
        <family val="2"/>
        <charset val="134"/>
      </rPr>
      <t>，点确定。</t>
    </r>
    <phoneticPr fontId="2" type="noConversion"/>
  </si>
  <si>
    <t>选中整个B列，复制，粘贴至txt文档中即可。</t>
    <phoneticPr fontId="2" type="noConversion"/>
  </si>
  <si>
    <t>选项：把闪避技能输出到哪里？</t>
    <phoneticPr fontId="2" type="noConversion"/>
  </si>
  <si>
    <t>输出到战斗一栏</t>
  </si>
  <si>
    <t>————————装备和道具———————</t>
    <phoneticPr fontId="2" type="noConversion"/>
  </si>
  <si>
    <t>装备和道具</t>
    <phoneticPr fontId="2" type="noConversion"/>
  </si>
  <si>
    <t>孤注一掷：使用孤注一掷来重掷上一次检定结果，需要合理地解释重掷原因，战斗和理智检定不能执行孤注一掷。</t>
    <phoneticPr fontId="2" type="noConversion"/>
  </si>
  <si>
    <t>非常规技能</t>
    <phoneticPr fontId="2" type="noConversion"/>
  </si>
  <si>
    <t>现在：</t>
    <phoneticPr fontId="2" type="noConversion"/>
  </si>
  <si>
    <t>守秘人规则书下载地址</t>
    <phoneticPr fontId="2" type="noConversion"/>
  </si>
  <si>
    <t>调查员手册下载地址</t>
    <phoneticPr fontId="2" type="noConversion"/>
  </si>
  <si>
    <t>面团用人物卡下载地址</t>
    <phoneticPr fontId="2" type="noConversion"/>
  </si>
  <si>
    <t>如果需要视频建卡教程，点击这里</t>
    <phoneticPr fontId="2" type="noConversion"/>
  </si>
  <si>
    <r>
      <t>填写调查员的基本信息，并根据调查员的年龄</t>
    </r>
    <r>
      <rPr>
        <b/>
        <sz val="10"/>
        <color rgb="FFC00000"/>
        <rFont val="微软雅黑"/>
        <family val="2"/>
        <charset val="134"/>
      </rPr>
      <t>调整其属性</t>
    </r>
    <r>
      <rPr>
        <sz val="10"/>
        <color theme="1"/>
        <rFont val="微软雅黑"/>
        <family val="2"/>
        <charset val="134"/>
      </rPr>
      <t xml:space="preserve">。 </t>
    </r>
    <phoneticPr fontId="2" type="noConversion"/>
  </si>
  <si>
    <t>如果需要专业化技能(母技能)的专攻技能(子项)选项</t>
    <phoneticPr fontId="2" type="noConversion"/>
  </si>
  <si>
    <r>
      <t>逐项填写背景条目。   如无特殊要求，“</t>
    </r>
    <r>
      <rPr>
        <b/>
        <sz val="10"/>
        <color theme="1"/>
        <rFont val="微软雅黑"/>
        <family val="2"/>
        <charset val="134"/>
      </rPr>
      <t>伤口和疤痕</t>
    </r>
    <r>
      <rPr>
        <sz val="10"/>
        <color theme="1"/>
        <rFont val="微软雅黑"/>
        <family val="2"/>
        <charset val="134"/>
      </rPr>
      <t>”、“</t>
    </r>
    <r>
      <rPr>
        <b/>
        <sz val="10"/>
        <color theme="1"/>
        <rFont val="微软雅黑"/>
        <family val="2"/>
        <charset val="134"/>
      </rPr>
      <t>恐惧症与狂躁症</t>
    </r>
    <r>
      <rPr>
        <sz val="10"/>
        <color theme="1"/>
        <rFont val="微软雅黑"/>
        <family val="2"/>
        <charset val="134"/>
      </rPr>
      <t>”</t>
    </r>
    <r>
      <rPr>
        <b/>
        <sz val="10"/>
        <color rgb="FFC00000"/>
        <rFont val="微软雅黑"/>
        <family val="2"/>
        <charset val="134"/>
      </rPr>
      <t>空出不填</t>
    </r>
    <r>
      <rPr>
        <sz val="10"/>
        <color theme="1"/>
        <rFont val="微软雅黑"/>
        <family val="2"/>
        <charset val="134"/>
      </rPr>
      <t>。</t>
    </r>
    <phoneticPr fontId="2" type="noConversion"/>
  </si>
  <si>
    <t>转到“人物卡”标签的“背景故事”部分</t>
    <phoneticPr fontId="2" type="noConversion"/>
  </si>
  <si>
    <t>转到“人物卡”标签的“装备和道具”部分</t>
    <phoneticPr fontId="2" type="noConversion"/>
  </si>
  <si>
    <t>转到“人物卡”标签的“资产”部分</t>
    <phoneticPr fontId="2" type="noConversion"/>
  </si>
  <si>
    <r>
      <t>调查员的现金和资产与技能“</t>
    </r>
    <r>
      <rPr>
        <b/>
        <sz val="10"/>
        <color theme="1"/>
        <rFont val="微软雅黑"/>
        <family val="2"/>
        <charset val="134"/>
      </rPr>
      <t>信用评级</t>
    </r>
    <r>
      <rPr>
        <sz val="10"/>
        <color theme="1"/>
        <rFont val="微软雅黑"/>
        <family val="2"/>
        <charset val="134"/>
      </rPr>
      <t>”的点数有关</t>
    </r>
    <phoneticPr fontId="2" type="noConversion"/>
  </si>
  <si>
    <r>
      <t>如需价格参考，可以在</t>
    </r>
    <r>
      <rPr>
        <b/>
        <sz val="10"/>
        <color theme="1"/>
        <rFont val="微软雅黑"/>
        <family val="2"/>
        <charset val="134"/>
      </rPr>
      <t>规则书</t>
    </r>
    <r>
      <rPr>
        <sz val="10"/>
        <color theme="1"/>
        <rFont val="微软雅黑"/>
        <family val="2"/>
        <charset val="134"/>
      </rPr>
      <t>或</t>
    </r>
    <r>
      <rPr>
        <b/>
        <sz val="10"/>
        <color theme="1"/>
        <rFont val="微软雅黑"/>
        <family val="2"/>
        <charset val="134"/>
      </rPr>
      <t>调查员手册</t>
    </r>
    <r>
      <rPr>
        <sz val="10"/>
        <color theme="1"/>
        <rFont val="微软雅黑"/>
        <family val="2"/>
        <charset val="134"/>
      </rPr>
      <t>的</t>
    </r>
    <r>
      <rPr>
        <b/>
        <sz val="10"/>
        <color rgb="FFC00000"/>
        <rFont val="微软雅黑"/>
        <family val="2"/>
        <charset val="134"/>
      </rPr>
      <t>附录</t>
    </r>
    <r>
      <rPr>
        <sz val="10"/>
        <color theme="1"/>
        <rFont val="微软雅黑"/>
        <family val="2"/>
        <charset val="134"/>
      </rPr>
      <t>中找到1920s和现代美国物价表。</t>
    </r>
    <phoneticPr fontId="2" type="noConversion"/>
  </si>
  <si>
    <t>侦查</t>
    <phoneticPr fontId="2" type="noConversion"/>
  </si>
  <si>
    <t>教育×2＋智力×2</t>
    <phoneticPr fontId="2" type="noConversion"/>
  </si>
  <si>
    <r>
      <t>在背景条目中选择对你的调查员最为重要的一项，作为其</t>
    </r>
    <r>
      <rPr>
        <b/>
        <sz val="10"/>
        <color rgb="FFC00000"/>
        <rFont val="微软雅黑"/>
        <family val="2"/>
        <charset val="134"/>
      </rPr>
      <t>关键连接</t>
    </r>
    <r>
      <rPr>
        <sz val="10"/>
        <color theme="1"/>
        <rFont val="微软雅黑"/>
        <family val="2"/>
        <charset val="134"/>
      </rPr>
      <t>。</t>
    </r>
    <phoneticPr fontId="2" type="noConversion"/>
  </si>
  <si>
    <t>古籍、法术和魔法物品</t>
    <phoneticPr fontId="2" type="noConversion"/>
  </si>
  <si>
    <t>根据Chaosium在官网发布的Call of Cthulhu Character Sheet - Modern - Full Autocalc制作，部分内容有改动。</t>
    <phoneticPr fontId="2" type="noConversion"/>
  </si>
  <si>
    <t>克苏鲁的呼唤第七版角色扮演游戏 半自动人物卡  Version2.0.4(桌面)</t>
    <phoneticPr fontId="2" type="noConversion"/>
  </si>
  <si>
    <t>秋叶EXODUS  2018/11/13</t>
    <phoneticPr fontId="2" type="noConversion"/>
  </si>
  <si>
    <t>现代</t>
  </si>
  <si>
    <t>杨三</t>
    <phoneticPr fontId="2" type="noConversion"/>
  </si>
  <si>
    <t>间谍</t>
    <phoneticPr fontId="2" type="noConversion"/>
  </si>
  <si>
    <t>男</t>
    <phoneticPr fontId="2" type="noConversion"/>
  </si>
  <si>
    <t>技艺：种植</t>
    <phoneticPr fontId="2" type="noConversion"/>
  </si>
  <si>
    <t>虔诚</t>
  </si>
  <si>
    <t>拜读圣典</t>
    <phoneticPr fontId="2" type="noConversion"/>
  </si>
  <si>
    <t>匕首</t>
    <phoneticPr fontId="2" type="noConversion"/>
  </si>
  <si>
    <t>1D4+2+DB</t>
    <phoneticPr fontId="2" type="noConversion"/>
  </si>
  <si>
    <t>1</t>
    <phoneticPr fontId="2" type="noConversion"/>
  </si>
  <si>
    <t>西利欧·达克赛宁</t>
    <phoneticPr fontId="2" type="noConversion"/>
  </si>
  <si>
    <t>平平无奇的小个子。</t>
    <phoneticPr fontId="2" type="noConversion"/>
  </si>
  <si>
    <t>西里欧乃服务于伟大太阳的诸多灵魂之一。作为一名优秀的间谍，他潜伏于太阳神所留下的阴影里，运用伪装与诡计来对抗肮脏的亵渎者。西里欧曾证明过他对太阳神的忠诚：在他作为预备间谍接受训练时，前任间谍导师迈尔斯与西里欧私交甚笃，不料一天他撕下了虔诚者的伪装，竟试图用亵渎者的异端邪说来污染西里欧的灵魂！意识到这一点的西里欧立马检举了迈尔斯，迈尔斯从此再也没有出现。然而，有些流言声称西里欧对太阳并没有表现出祂应得的尊重——这自然只是对西里欧嫉妒不已的卑鄙小人的恶毒诽谤而已。</t>
    <phoneticPr fontId="2" type="noConversion"/>
  </si>
  <si>
    <t>抓钩 长绳 滑轮组</t>
    <phoneticPr fontId="2" type="noConversion"/>
  </si>
  <si>
    <t>深色斗篷与手套</t>
    <phoneticPr fontId="2" type="noConversion"/>
  </si>
  <si>
    <t>干粮，清水</t>
    <phoneticPr fontId="2" type="noConversion"/>
  </si>
  <si>
    <t>火石，火炬</t>
    <phoneticPr fontId="2" type="noConversion"/>
  </si>
  <si>
    <t>多疑</t>
    <phoneticPr fontId="2" type="noConversion"/>
  </si>
  <si>
    <t>我首先是西里欧·达克赛宁，然后才是太阳信徒。</t>
    <phoneticPr fontId="2" type="noConversion"/>
  </si>
  <si>
    <t>无</t>
    <phoneticPr fontId="2" type="noConversion"/>
  </si>
  <si>
    <t>自己的间谍导师迈尔斯。因为异端倾向被处决，检举者正是西利欧。</t>
    <phoneticPr fontId="2" type="noConversion"/>
  </si>
  <si>
    <t>迈尔斯赠送的雕花匕首</t>
    <phoneticPr fontId="2" type="noConversion"/>
  </si>
  <si>
    <t>3把匕首</t>
    <phoneticPr fontId="2" type="noConversion"/>
  </si>
  <si>
    <t>迈尔斯的雕花匕首</t>
    <phoneticPr fontId="2" type="noConversion"/>
  </si>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</sst>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 "/>
    <numFmt numFmtId="177" formatCode="0_);[Red]\(0\)"/>
    <numFmt numFmtId="178" formatCode="\+0;\-0;\±0"/>
    <numFmt numFmtId="179" formatCode="\/0_ "/>
    <numFmt numFmtId="180" formatCode="0_ ;[Red]\-0\ "/>
  </numFmts>
  <fonts count="38" x14ac:knownFonts="1">
    <font>
      <sz val="11"/>
      <color theme="1"/>
      <name val="等线"/>
      <family val="2"/>
      <charset val="134"/>
      <scheme val="minor"/>
    </font>
    <font>
      <sz val="11"/>
      <color theme="1"/>
      <name val="微软雅黑"/>
      <family val="2"/>
      <charset val="134"/>
    </font>
    <font>
      <sz val="9"/>
      <name val="等线"/>
      <family val="2"/>
      <charset val="134"/>
      <scheme val="minor"/>
    </font>
    <font>
      <sz val="10"/>
      <color theme="1"/>
      <name val="微软雅黑"/>
      <family val="2"/>
      <charset val="134"/>
    </font>
    <font>
      <sz val="8"/>
      <color theme="1"/>
      <name val="微软雅黑"/>
      <family val="2"/>
      <charset val="134"/>
    </font>
    <font>
      <sz val="11"/>
      <color theme="0"/>
      <name val="微软雅黑"/>
      <family val="2"/>
      <charset val="134"/>
    </font>
    <font>
      <sz val="11"/>
      <color theme="1"/>
      <name val="微软雅黑 Light"/>
      <family val="2"/>
      <charset val="134"/>
    </font>
    <font>
      <sz val="10.5"/>
      <color theme="1"/>
      <name val="微软雅黑 Light"/>
      <family val="2"/>
      <charset val="134"/>
    </font>
    <font>
      <sz val="10"/>
      <color theme="0" tint="-0.499984740745262"/>
      <name val="微软雅黑"/>
      <family val="2"/>
      <charset val="134"/>
    </font>
    <font>
      <sz val="11"/>
      <color theme="0"/>
      <name val="微软雅黑 Light"/>
      <family val="2"/>
      <charset val="134"/>
    </font>
    <font>
      <sz val="10"/>
      <name val="微软雅黑"/>
      <family val="2"/>
      <charset val="134"/>
    </font>
    <font>
      <sz val="10"/>
      <color theme="0"/>
      <name val="微软雅黑"/>
      <family val="2"/>
      <charset val="134"/>
    </font>
    <font>
      <sz val="10"/>
      <color theme="0" tint="-0.249977111117893"/>
      <name val="微软雅黑"/>
      <family val="2"/>
      <charset val="134"/>
    </font>
    <font>
      <sz val="10"/>
      <color theme="2" tint="-0.249977111117893"/>
      <name val="微软雅黑"/>
      <family val="2"/>
      <charset val="134"/>
    </font>
    <font>
      <sz val="9"/>
      <color theme="1"/>
      <name val="微软雅黑"/>
      <family val="2"/>
      <charset val="134"/>
    </font>
    <font>
      <sz val="12"/>
      <color theme="0"/>
      <name val="微软雅黑 Light"/>
      <family val="2"/>
      <charset val="134"/>
    </font>
    <font>
      <sz val="12"/>
      <color theme="1"/>
      <name val="微软雅黑 Light"/>
      <family val="2"/>
      <charset val="134"/>
    </font>
    <font>
      <sz val="12"/>
      <color theme="1"/>
      <name val="微软雅黑"/>
      <family val="2"/>
      <charset val="134"/>
    </font>
    <font>
      <sz val="12"/>
      <color theme="0"/>
      <name val="微软雅黑"/>
      <family val="2"/>
      <charset val="134"/>
    </font>
    <font>
      <u/>
      <sz val="11"/>
      <color theme="10"/>
      <name val="等线"/>
      <family val="2"/>
      <charset val="134"/>
      <scheme val="minor"/>
    </font>
    <font>
      <sz val="11"/>
      <name val="微软雅黑"/>
      <family val="2"/>
      <charset val="134"/>
    </font>
    <font>
      <b/>
      <sz val="11"/>
      <color rgb="FFFF0000"/>
      <name val="微软雅黑"/>
      <family val="2"/>
      <charset val="134"/>
    </font>
    <font>
      <sz val="16"/>
      <color theme="1"/>
      <name val="微软雅黑"/>
      <family val="2"/>
      <charset val="134"/>
    </font>
    <font>
      <sz val="20"/>
      <color theme="1"/>
      <name val="微软雅黑"/>
      <family val="2"/>
      <charset val="134"/>
    </font>
    <font>
      <b/>
      <sz val="10"/>
      <color rgb="FFC00000"/>
      <name val="微软雅黑"/>
      <family val="2"/>
      <charset val="134"/>
    </font>
    <font>
      <u/>
      <sz val="11"/>
      <color theme="10"/>
      <name val="微软雅黑"/>
      <family val="2"/>
      <charset val="134"/>
    </font>
    <font>
      <u/>
      <sz val="10"/>
      <color theme="10"/>
      <name val="微软雅黑"/>
      <family val="2"/>
      <charset val="134"/>
    </font>
    <font>
      <b/>
      <sz val="10"/>
      <color theme="1"/>
      <name val="微软雅黑"/>
      <family val="2"/>
      <charset val="134"/>
    </font>
    <font>
      <sz val="6"/>
      <color theme="1"/>
      <name val="微软雅黑"/>
      <family val="2"/>
      <charset val="134"/>
    </font>
    <font>
      <sz val="8"/>
      <color theme="1"/>
      <name val="微软雅黑 Light"/>
      <family val="2"/>
      <charset val="134"/>
    </font>
    <font>
      <sz val="10"/>
      <color theme="7" tint="0.79998168889431442"/>
      <name val="微软雅黑"/>
      <family val="2"/>
      <charset val="134"/>
    </font>
    <font>
      <b/>
      <sz val="12"/>
      <color theme="1"/>
      <name val="微软雅黑"/>
      <family val="2"/>
      <charset val="134"/>
    </font>
    <font>
      <b/>
      <sz val="12"/>
      <color rgb="FFC00000"/>
      <name val="微软雅黑"/>
      <family val="2"/>
      <charset val="134"/>
    </font>
    <font>
      <sz val="14"/>
      <color theme="1"/>
      <name val="微软雅黑"/>
      <family val="2"/>
      <charset val="134"/>
    </font>
    <font>
      <sz val="11"/>
      <color rgb="FF000000"/>
      <name val="微软雅黑"/>
      <family val="2"/>
      <charset val="134"/>
    </font>
    <font>
      <sz val="10"/>
      <color rgb="FF000000"/>
      <name val="微软雅黑"/>
      <family val="2"/>
      <charset val="134"/>
    </font>
    <font>
      <sz val="10"/>
      <color rgb="FF000000"/>
      <name val="等线"/>
      <family val="3"/>
      <charset val="134"/>
    </font>
    <font>
      <sz val="11"/>
      <color rgb="FF000000"/>
      <name val="等线"/>
      <family val="3"/>
      <charset val="134"/>
    </font>
  </fonts>
  <fills count="1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79998168889431442"/>
        <bgColor indexed="64"/>
      </patternFill>
    </fill>
  </fills>
  <borders count="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double">
        <color theme="0" tint="-0.499984740745262"/>
      </right>
      <top style="thin">
        <color theme="0" tint="-0.249977111117893"/>
      </top>
      <bottom style="thin">
        <color theme="0" tint="-0.249977111117893"/>
      </bottom>
      <diagonal/>
    </border>
    <border>
      <left style="medium">
        <color indexed="64"/>
      </left>
      <right/>
      <top style="medium">
        <color indexed="64"/>
      </top>
      <bottom style="thin">
        <color theme="0" tint="-0.249977111117893"/>
      </bottom>
      <diagonal/>
    </border>
    <border>
      <left/>
      <right/>
      <top style="medium">
        <color indexed="64"/>
      </top>
      <bottom style="thin">
        <color theme="0" tint="-0.249977111117893"/>
      </bottom>
      <diagonal/>
    </border>
    <border>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right style="medium">
        <color indexed="64"/>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top style="thin">
        <color theme="0" tint="-0.249977111117893"/>
      </top>
      <bottom style="medium">
        <color indexed="64"/>
      </bottom>
      <diagonal/>
    </border>
    <border>
      <left/>
      <right/>
      <top style="thin">
        <color theme="0" tint="-0.249977111117893"/>
      </top>
      <bottom style="medium">
        <color indexed="64"/>
      </bottom>
      <diagonal/>
    </border>
    <border>
      <left/>
      <right style="medium">
        <color indexed="64"/>
      </right>
      <top style="thin">
        <color theme="0" tint="-0.249977111117893"/>
      </top>
      <bottom style="medium">
        <color indexed="64"/>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thin">
        <color theme="0" tint="-0.249977111117893"/>
      </left>
      <right style="medium">
        <color indexed="64"/>
      </right>
      <top style="thin">
        <color theme="0" tint="-0.249977111117893"/>
      </top>
      <bottom style="medium">
        <color indexed="64"/>
      </bottom>
      <diagonal/>
    </border>
    <border>
      <left style="thin">
        <color theme="0" tint="-0.249977111117893"/>
      </left>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theme="0" tint="-0.249977111117893"/>
      </top>
      <bottom style="medium">
        <color indexed="64"/>
      </bottom>
      <diagonal/>
    </border>
    <border>
      <left style="thin">
        <color theme="0" tint="-0.249977111117893"/>
      </left>
      <right style="double">
        <color theme="0" tint="-0.499984740745262"/>
      </right>
      <top style="thin">
        <color theme="0" tint="-0.249977111117893"/>
      </top>
      <bottom style="medium">
        <color indexed="64"/>
      </bottom>
      <diagonal/>
    </border>
    <border>
      <left/>
      <right style="medium">
        <color indexed="64"/>
      </right>
      <top style="thin">
        <color theme="0" tint="-0.249977111117893"/>
      </top>
      <bottom/>
      <diagonal/>
    </border>
    <border>
      <left/>
      <right style="medium">
        <color indexed="64"/>
      </right>
      <top/>
      <bottom style="thin">
        <color theme="0" tint="-0.249977111117893"/>
      </bottom>
      <diagonal/>
    </border>
    <border>
      <left style="medium">
        <color indexed="64"/>
      </left>
      <right/>
      <top style="thin">
        <color theme="0" tint="-0.249977111117893"/>
      </top>
      <bottom style="thin">
        <color theme="0" tint="-0.249977111117893"/>
      </bottom>
      <diagonal/>
    </border>
    <border>
      <left style="medium">
        <color indexed="64"/>
      </left>
      <right/>
      <top style="thin">
        <color theme="0" tint="-0.249977111117893"/>
      </top>
      <bottom/>
      <diagonal/>
    </border>
    <border>
      <left style="medium">
        <color indexed="64"/>
      </left>
      <right/>
      <top/>
      <bottom style="thin">
        <color theme="0"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theme="0" tint="-0.249977111117893"/>
      </right>
      <top style="thin">
        <color theme="0" tint="-0.249977111117893"/>
      </top>
      <bottom/>
      <diagonal/>
    </border>
    <border>
      <left style="medium">
        <color indexed="64"/>
      </left>
      <right/>
      <top style="thin">
        <color theme="0" tint="-0.249977111117893"/>
      </top>
      <bottom style="medium">
        <color indexed="64"/>
      </bottom>
      <diagonal/>
    </border>
    <border>
      <left/>
      <right style="thin">
        <color theme="0" tint="-0.249977111117893"/>
      </right>
      <top/>
      <bottom style="thin">
        <color theme="0" tint="-0.249977111117893"/>
      </bottom>
      <diagonal/>
    </border>
    <border>
      <left style="double">
        <color theme="0" tint="-0.499984740745262"/>
      </left>
      <right/>
      <top style="thin">
        <color theme="0" tint="-0.249977111117893"/>
      </top>
      <bottom style="medium">
        <color indexed="64"/>
      </bottom>
      <diagonal/>
    </border>
    <border>
      <left/>
      <right style="thin">
        <color theme="0" tint="-0.249977111117893"/>
      </right>
      <top/>
      <bottom/>
      <diagonal/>
    </border>
    <border>
      <left/>
      <right style="thin">
        <color theme="0" tint="-0.249977111117893"/>
      </right>
      <top style="medium">
        <color indexed="64"/>
      </top>
      <bottom/>
      <diagonal/>
    </border>
    <border>
      <left/>
      <right style="double">
        <color indexed="64"/>
      </right>
      <top style="medium">
        <color indexed="64"/>
      </top>
      <bottom/>
      <diagonal/>
    </border>
    <border>
      <left/>
      <right style="double">
        <color indexed="64"/>
      </right>
      <top/>
      <bottom style="thin">
        <color theme="0" tint="-0.249977111117893"/>
      </bottom>
      <diagonal/>
    </border>
    <border>
      <left/>
      <right style="double">
        <color indexed="64"/>
      </right>
      <top/>
      <bottom style="medium">
        <color indexed="64"/>
      </bottom>
      <diagonal/>
    </border>
    <border>
      <left/>
      <right style="double">
        <color indexed="64"/>
      </right>
      <top/>
      <bottom/>
      <diagonal/>
    </border>
    <border>
      <left style="double">
        <color theme="0" tint="-0.499984740745262"/>
      </left>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medium">
        <color indexed="64"/>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631">
    <xf numFmtId="0" fontId="0" fillId="0" borderId="0" xfId="0">
      <alignment vertical="center"/>
    </xf>
    <xf numFmtId="0" fontId="1" fillId="0" borderId="0" xfId="0" applyFont="1" applyAlignment="1">
      <alignment horizontal="center" vertical="center"/>
    </xf>
    <xf numFmtId="0" fontId="5" fillId="0" borderId="0" xfId="0" applyFont="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3" borderId="6" xfId="0" applyFont="1" applyFill="1" applyBorder="1" applyAlignment="1">
      <alignment horizontal="center" vertical="center"/>
    </xf>
    <xf numFmtId="0" fontId="1" fillId="3" borderId="8" xfId="0" applyFont="1" applyFill="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7" fillId="0" borderId="0" xfId="0" applyFont="1">
      <alignment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49" fontId="20" fillId="3" borderId="0" xfId="0" applyNumberFormat="1" applyFont="1" applyFill="1" applyBorder="1" applyAlignment="1" applyProtection="1">
      <alignment horizontal="center" vertical="center"/>
      <protection locked="0"/>
    </xf>
    <xf numFmtId="49" fontId="20" fillId="0" borderId="4" xfId="0" applyNumberFormat="1" applyFont="1" applyBorder="1" applyAlignment="1" applyProtection="1">
      <alignment horizontal="center" vertical="center"/>
      <protection locked="0"/>
    </xf>
    <xf numFmtId="49" fontId="20" fillId="3" borderId="4" xfId="0" applyNumberFormat="1" applyFont="1" applyFill="1" applyBorder="1" applyAlignment="1" applyProtection="1">
      <alignment horizontal="center" vertical="center"/>
      <protection locked="0"/>
    </xf>
    <xf numFmtId="49" fontId="20" fillId="3" borderId="0" xfId="0" applyNumberFormat="1" applyFont="1" applyFill="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protection locked="0"/>
    </xf>
    <xf numFmtId="49" fontId="20" fillId="0" borderId="0" xfId="0" applyNumberFormat="1" applyFont="1" applyBorder="1" applyAlignment="1" applyProtection="1">
      <alignment horizontal="center" vertical="center" wrapText="1"/>
      <protection locked="0"/>
    </xf>
    <xf numFmtId="49" fontId="1" fillId="0" borderId="0" xfId="0" applyNumberFormat="1" applyFont="1" applyAlignment="1">
      <alignment horizontal="center" vertical="center"/>
    </xf>
    <xf numFmtId="49" fontId="20" fillId="5" borderId="0" xfId="0" applyNumberFormat="1" applyFont="1" applyFill="1" applyBorder="1" applyAlignment="1">
      <alignment horizontal="center" vertical="center"/>
    </xf>
    <xf numFmtId="49" fontId="20" fillId="5" borderId="4" xfId="0" applyNumberFormat="1" applyFont="1" applyFill="1" applyBorder="1" applyAlignment="1">
      <alignment horizontal="center" vertical="center"/>
    </xf>
    <xf numFmtId="49" fontId="20" fillId="5" borderId="5" xfId="0" applyNumberFormat="1" applyFont="1" applyFill="1" applyBorder="1" applyAlignment="1">
      <alignment horizontal="center" vertical="center"/>
    </xf>
    <xf numFmtId="49" fontId="20" fillId="0" borderId="5" xfId="0" applyNumberFormat="1" applyFont="1" applyBorder="1" applyAlignment="1" applyProtection="1">
      <alignment horizontal="center" vertical="center"/>
      <protection locked="0"/>
    </xf>
    <xf numFmtId="49" fontId="20" fillId="3" borderId="5" xfId="0" applyNumberFormat="1" applyFont="1" applyFill="1" applyBorder="1" applyAlignment="1" applyProtection="1">
      <alignment horizontal="center" vertical="center"/>
    </xf>
    <xf numFmtId="49" fontId="20" fillId="0" borderId="5" xfId="0" applyNumberFormat="1" applyFont="1" applyBorder="1" applyAlignment="1" applyProtection="1">
      <alignment horizontal="center" vertical="center"/>
    </xf>
    <xf numFmtId="0" fontId="3" fillId="0" borderId="24" xfId="0" applyNumberFormat="1" applyFont="1" applyBorder="1" applyAlignment="1" applyProtection="1">
      <alignment horizontal="center" vertical="center"/>
      <protection locked="0"/>
    </xf>
    <xf numFmtId="0" fontId="3" fillId="0" borderId="16" xfId="0" applyNumberFormat="1" applyFont="1" applyBorder="1" applyAlignment="1" applyProtection="1">
      <alignment horizontal="center" vertical="center"/>
      <protection locked="0"/>
    </xf>
    <xf numFmtId="0" fontId="3" fillId="0" borderId="35" xfId="0" applyNumberFormat="1" applyFont="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0" borderId="21" xfId="0" applyNumberFormat="1" applyFont="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locked="0"/>
    </xf>
    <xf numFmtId="0" fontId="11"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0" borderId="0" xfId="0" applyFont="1" applyAlignment="1" applyProtection="1">
      <alignment horizontal="left" vertical="center"/>
      <protection hidden="1"/>
    </xf>
    <xf numFmtId="0" fontId="3" fillId="7" borderId="0" xfId="0" applyFont="1" applyFill="1" applyAlignment="1" applyProtection="1">
      <alignment vertical="center"/>
      <protection hidden="1"/>
    </xf>
    <xf numFmtId="0" fontId="3" fillId="0" borderId="0" xfId="0" applyFont="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0" borderId="0" xfId="0" applyFont="1" applyFill="1" applyAlignment="1" applyProtection="1">
      <alignment horizontal="center" vertical="center"/>
      <protection hidden="1"/>
    </xf>
    <xf numFmtId="0" fontId="11" fillId="0" borderId="0" xfId="0" applyFont="1" applyFill="1" applyAlignment="1" applyProtection="1">
      <alignment horizontal="left" vertical="center"/>
      <protection hidden="1"/>
    </xf>
    <xf numFmtId="0" fontId="10" fillId="0" borderId="0" xfId="0" applyFont="1" applyAlignment="1" applyProtection="1">
      <alignment horizontal="center" vertical="center"/>
      <protection hidden="1"/>
    </xf>
    <xf numFmtId="176" fontId="10"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8" fillId="0" borderId="0" xfId="0" applyFont="1" applyBorder="1" applyAlignment="1" applyProtection="1">
      <protection hidden="1"/>
    </xf>
    <xf numFmtId="0" fontId="8" fillId="0" borderId="0" xfId="0" applyFont="1" applyBorder="1" applyAlignment="1" applyProtection="1">
      <alignment horizontal="left"/>
      <protection hidden="1"/>
    </xf>
    <xf numFmtId="0" fontId="8" fillId="0" borderId="0" xfId="0" applyFont="1" applyBorder="1" applyAlignment="1" applyProtection="1">
      <alignment vertical="center"/>
      <protection hidden="1"/>
    </xf>
    <xf numFmtId="0" fontId="8" fillId="0" borderId="0" xfId="0" applyFont="1" applyBorder="1" applyAlignment="1" applyProtection="1">
      <alignment vertical="center" wrapText="1"/>
      <protection hidden="1"/>
    </xf>
    <xf numFmtId="0" fontId="3" fillId="4" borderId="21" xfId="0" applyNumberFormat="1" applyFont="1" applyFill="1" applyBorder="1" applyAlignment="1" applyProtection="1">
      <alignment horizontal="center" vertical="center"/>
      <protection hidden="1"/>
    </xf>
    <xf numFmtId="0" fontId="3" fillId="4" borderId="16" xfId="0" applyNumberFormat="1" applyFont="1" applyFill="1" applyBorder="1" applyAlignment="1" applyProtection="1">
      <alignment horizontal="center" vertical="center"/>
      <protection hidden="1"/>
    </xf>
    <xf numFmtId="0" fontId="8" fillId="0" borderId="7" xfId="0" applyFont="1" applyBorder="1" applyAlignment="1" applyProtection="1">
      <alignment vertical="top"/>
      <protection hidden="1"/>
    </xf>
    <xf numFmtId="0" fontId="8" fillId="0" borderId="0" xfId="0" applyFont="1" applyBorder="1" applyAlignment="1" applyProtection="1">
      <alignment vertical="top"/>
      <protection hidden="1"/>
    </xf>
    <xf numFmtId="0" fontId="13" fillId="0" borderId="0" xfId="0" applyFont="1" applyBorder="1" applyAlignment="1" applyProtection="1">
      <alignment vertical="center"/>
      <protection hidden="1"/>
    </xf>
    <xf numFmtId="0" fontId="13" fillId="0" borderId="0" xfId="0" applyFont="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49" fontId="3" fillId="0" borderId="9" xfId="0" applyNumberFormat="1" applyFont="1" applyFill="1" applyBorder="1" applyAlignment="1" applyProtection="1">
      <alignment horizontal="center" vertical="center"/>
      <protection hidden="1"/>
    </xf>
    <xf numFmtId="0" fontId="11" fillId="0" borderId="0" xfId="0" applyFont="1" applyBorder="1" applyAlignment="1" applyProtection="1">
      <alignment vertical="center"/>
      <protection hidden="1"/>
    </xf>
    <xf numFmtId="0" fontId="3" fillId="0" borderId="7" xfId="0" applyFont="1" applyBorder="1" applyAlignment="1" applyProtection="1">
      <alignment horizontal="center" vertical="center"/>
      <protection locked="0"/>
    </xf>
    <xf numFmtId="49" fontId="3" fillId="0" borderId="9" xfId="0" applyNumberFormat="1" applyFont="1" applyFill="1" applyBorder="1" applyAlignment="1" applyProtection="1">
      <alignment horizontal="center" vertical="center"/>
      <protection locked="0" hidden="1"/>
    </xf>
    <xf numFmtId="49" fontId="3" fillId="0" borderId="25" xfId="0" applyNumberFormat="1" applyFont="1" applyFill="1" applyBorder="1" applyAlignment="1" applyProtection="1">
      <alignment horizontal="center" vertical="center"/>
      <protection locked="0" hidden="1"/>
    </xf>
    <xf numFmtId="0" fontId="9" fillId="2" borderId="1" xfId="0"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protection hidden="1"/>
    </xf>
    <xf numFmtId="49" fontId="9" fillId="2" borderId="2" xfId="0" applyNumberFormat="1"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wrapText="1"/>
      <protection hidden="1"/>
    </xf>
    <xf numFmtId="0" fontId="9" fillId="2" borderId="3" xfId="0" applyFont="1" applyFill="1" applyBorder="1" applyAlignment="1" applyProtection="1">
      <alignment horizontal="center" vertical="center" wrapText="1"/>
      <protection hidden="1"/>
    </xf>
    <xf numFmtId="0" fontId="6" fillId="0" borderId="0" xfId="0" applyFont="1" applyAlignment="1" applyProtection="1">
      <alignment horizontal="center" vertical="center"/>
      <protection hidden="1"/>
    </xf>
    <xf numFmtId="0" fontId="6" fillId="3" borderId="4" xfId="0" applyFont="1" applyFill="1" applyBorder="1" applyAlignment="1" applyProtection="1">
      <alignment horizontal="center" vertical="center"/>
      <protection hidden="1"/>
    </xf>
    <xf numFmtId="49" fontId="6" fillId="3" borderId="0" xfId="0" applyNumberFormat="1" applyFont="1" applyFill="1" applyBorder="1" applyAlignment="1" applyProtection="1">
      <alignment horizontal="center" vertical="center"/>
      <protection hidden="1"/>
    </xf>
    <xf numFmtId="0" fontId="6" fillId="3" borderId="0" xfId="0" applyFont="1" applyFill="1" applyBorder="1" applyAlignment="1" applyProtection="1">
      <alignment horizontal="center" vertical="center"/>
      <protection hidden="1"/>
    </xf>
    <xf numFmtId="0" fontId="6" fillId="3" borderId="5" xfId="0" applyFont="1" applyFill="1" applyBorder="1" applyAlignment="1" applyProtection="1">
      <alignment horizontal="left" vertical="center" wrapText="1"/>
      <protection hidden="1"/>
    </xf>
    <xf numFmtId="0" fontId="6" fillId="0" borderId="4" xfId="0" applyFont="1" applyBorder="1" applyAlignment="1" applyProtection="1">
      <alignment horizontal="center" vertical="center"/>
      <protection hidden="1"/>
    </xf>
    <xf numFmtId="0" fontId="6" fillId="0" borderId="0" xfId="0" applyFont="1" applyBorder="1" applyAlignment="1" applyProtection="1">
      <alignment horizontal="center" vertical="center"/>
      <protection hidden="1"/>
    </xf>
    <xf numFmtId="0" fontId="6" fillId="0" borderId="0" xfId="0" applyFont="1" applyBorder="1" applyAlignment="1" applyProtection="1">
      <alignment horizontal="center" vertical="center" wrapText="1"/>
      <protection hidden="1"/>
    </xf>
    <xf numFmtId="0" fontId="6" fillId="0" borderId="5" xfId="0" applyFont="1" applyBorder="1" applyAlignment="1" applyProtection="1">
      <alignment horizontal="left" vertical="center"/>
      <protection hidden="1"/>
    </xf>
    <xf numFmtId="0" fontId="6" fillId="3" borderId="0" xfId="0" applyFont="1" applyFill="1" applyBorder="1" applyAlignment="1" applyProtection="1">
      <alignment horizontal="center" vertical="center" wrapText="1"/>
      <protection hidden="1"/>
    </xf>
    <xf numFmtId="0" fontId="6" fillId="0" borderId="0" xfId="0" applyFont="1" applyAlignment="1" applyProtection="1">
      <alignment horizontal="left" vertical="center"/>
      <protection hidden="1"/>
    </xf>
    <xf numFmtId="49" fontId="6" fillId="0" borderId="0" xfId="0" applyNumberFormat="1" applyFont="1" applyAlignment="1" applyProtection="1">
      <alignment horizontal="center" vertical="center"/>
      <protection hidden="1"/>
    </xf>
    <xf numFmtId="0" fontId="6" fillId="0" borderId="0" xfId="0" applyFont="1" applyAlignment="1" applyProtection="1">
      <alignment horizontal="center" vertical="center" wrapText="1"/>
      <protection hidden="1"/>
    </xf>
    <xf numFmtId="0" fontId="6" fillId="0" borderId="0" xfId="0" applyFont="1" applyAlignment="1" applyProtection="1">
      <alignment horizontal="left" vertical="center" wrapText="1"/>
      <protection hidden="1"/>
    </xf>
    <xf numFmtId="0" fontId="6" fillId="8" borderId="0" xfId="0" applyFont="1" applyFill="1" applyBorder="1" applyAlignment="1" applyProtection="1">
      <alignment horizontal="center" vertical="center" wrapText="1"/>
      <protection locked="0" hidden="1"/>
    </xf>
    <xf numFmtId="0" fontId="3" fillId="7" borderId="0" xfId="0" applyFont="1" applyFill="1" applyAlignment="1" applyProtection="1">
      <alignment horizontal="left" vertical="center"/>
      <protection hidden="1"/>
    </xf>
    <xf numFmtId="0" fontId="15" fillId="2" borderId="9" xfId="0" applyFont="1" applyFill="1" applyBorder="1" applyAlignment="1" applyProtection="1">
      <alignment horizontal="center" vertical="center"/>
      <protection hidden="1"/>
    </xf>
    <xf numFmtId="0" fontId="16" fillId="0" borderId="0" xfId="0" applyFont="1" applyAlignment="1" applyProtection="1">
      <alignment horizontal="center" vertical="center"/>
      <protection hidden="1"/>
    </xf>
    <xf numFmtId="0" fontId="16" fillId="0" borderId="0" xfId="0" applyFont="1" applyAlignment="1" applyProtection="1">
      <alignment vertical="center"/>
      <protection hidden="1"/>
    </xf>
    <xf numFmtId="0" fontId="16" fillId="3" borderId="9" xfId="0" applyFont="1" applyFill="1" applyBorder="1" applyAlignment="1" applyProtection="1">
      <alignment horizontal="center" vertical="center"/>
      <protection hidden="1"/>
    </xf>
    <xf numFmtId="49" fontId="16" fillId="3" borderId="9" xfId="0" applyNumberFormat="1" applyFont="1" applyFill="1" applyBorder="1" applyAlignment="1" applyProtection="1">
      <alignment horizontal="center" vertical="center"/>
      <protection hidden="1"/>
    </xf>
    <xf numFmtId="0" fontId="16" fillId="0" borderId="9" xfId="0" applyFont="1" applyBorder="1" applyAlignment="1" applyProtection="1">
      <alignment horizontal="center" vertical="center"/>
      <protection hidden="1"/>
    </xf>
    <xf numFmtId="0" fontId="29" fillId="0" borderId="9" xfId="0" applyFont="1" applyBorder="1" applyAlignment="1" applyProtection="1">
      <alignment horizontal="center" vertical="center"/>
      <protection hidden="1"/>
    </xf>
    <xf numFmtId="49" fontId="29" fillId="3" borderId="9" xfId="0" applyNumberFormat="1" applyFont="1" applyFill="1" applyBorder="1" applyAlignment="1" applyProtection="1">
      <alignment horizontal="center" vertical="center"/>
      <protection hidden="1"/>
    </xf>
    <xf numFmtId="49" fontId="16" fillId="0" borderId="0" xfId="0" applyNumberFormat="1" applyFont="1" applyAlignment="1" applyProtection="1">
      <alignment horizontal="center" vertical="center"/>
      <protection hidden="1"/>
    </xf>
    <xf numFmtId="0" fontId="30" fillId="7" borderId="0" xfId="0" applyFont="1" applyFill="1" applyAlignment="1" applyProtection="1">
      <alignment horizontal="left" vertical="center"/>
      <protection hidden="1"/>
    </xf>
    <xf numFmtId="0" fontId="3" fillId="0" borderId="21" xfId="0" applyNumberFormat="1" applyFont="1" applyBorder="1" applyAlignment="1" applyProtection="1">
      <alignment horizontal="center" vertical="center"/>
    </xf>
    <xf numFmtId="0" fontId="3" fillId="3" borderId="21" xfId="0" applyNumberFormat="1" applyFont="1" applyFill="1" applyBorder="1" applyAlignment="1" applyProtection="1">
      <alignment horizontal="center" vertical="center"/>
    </xf>
    <xf numFmtId="0" fontId="6" fillId="3" borderId="6" xfId="0" applyFont="1" applyFill="1" applyBorder="1" applyAlignment="1" applyProtection="1">
      <alignment horizontal="center" vertical="center"/>
      <protection hidden="1"/>
    </xf>
    <xf numFmtId="49" fontId="6" fillId="3" borderId="7" xfId="0" applyNumberFormat="1" applyFont="1" applyFill="1" applyBorder="1" applyAlignment="1" applyProtection="1">
      <alignment horizontal="center" vertical="center"/>
      <protection hidden="1"/>
    </xf>
    <xf numFmtId="0" fontId="6" fillId="3" borderId="7" xfId="0" applyFont="1" applyFill="1" applyBorder="1" applyAlignment="1" applyProtection="1">
      <alignment horizontal="center" vertical="center" wrapText="1"/>
      <protection hidden="1"/>
    </xf>
    <xf numFmtId="0" fontId="6" fillId="3" borderId="7" xfId="0" applyFont="1" applyFill="1" applyBorder="1" applyAlignment="1" applyProtection="1">
      <alignment horizontal="center" vertical="center"/>
      <protection hidden="1"/>
    </xf>
    <xf numFmtId="0" fontId="6" fillId="3" borderId="8" xfId="0" applyFont="1" applyFill="1" applyBorder="1" applyAlignment="1" applyProtection="1">
      <alignment horizontal="left" vertical="center" wrapText="1"/>
      <protection hidden="1"/>
    </xf>
    <xf numFmtId="49" fontId="3" fillId="3" borderId="9" xfId="0" applyNumberFormat="1" applyFont="1" applyFill="1" applyBorder="1" applyAlignment="1" applyProtection="1">
      <alignment horizontal="center" vertical="center"/>
      <protection locked="0" hidden="1"/>
    </xf>
    <xf numFmtId="49" fontId="3" fillId="3" borderId="9" xfId="0" applyNumberFormat="1" applyFont="1" applyFill="1" applyBorder="1" applyAlignment="1" applyProtection="1">
      <alignment horizontal="center" vertical="center"/>
      <protection locked="0"/>
    </xf>
    <xf numFmtId="0" fontId="6" fillId="3" borderId="0" xfId="0" applyNumberFormat="1" applyFont="1" applyFill="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0" fontId="6" fillId="3" borderId="7" xfId="0" applyNumberFormat="1" applyFont="1" applyFill="1" applyBorder="1" applyAlignment="1" applyProtection="1">
      <alignment horizontal="left" vertical="center"/>
      <protection locked="0"/>
    </xf>
    <xf numFmtId="0" fontId="6" fillId="8" borderId="0" xfId="0" applyNumberFormat="1" applyFont="1" applyFill="1" applyBorder="1" applyAlignment="1" applyProtection="1">
      <alignment horizontal="left" vertical="center"/>
      <protection locked="0"/>
    </xf>
    <xf numFmtId="0" fontId="1" fillId="0" borderId="4" xfId="0" applyFont="1" applyBorder="1" applyAlignment="1" applyProtection="1">
      <alignment horizontal="center" vertical="center"/>
      <protection locked="0"/>
    </xf>
    <xf numFmtId="0" fontId="1" fillId="3" borderId="4" xfId="0" applyFont="1" applyFill="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3" borderId="6" xfId="0" applyFont="1" applyFill="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3" borderId="5" xfId="0" applyFont="1" applyFill="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8" fillId="2" borderId="42" xfId="0" applyNumberFormat="1" applyFont="1" applyFill="1" applyBorder="1" applyAlignment="1" applyProtection="1">
      <alignment horizontal="left" vertical="center"/>
      <protection locked="0"/>
    </xf>
    <xf numFmtId="0" fontId="17" fillId="3" borderId="43" xfId="0" applyNumberFormat="1" applyFont="1" applyFill="1" applyBorder="1" applyAlignment="1" applyProtection="1">
      <alignment horizontal="left" vertical="center"/>
      <protection locked="0"/>
    </xf>
    <xf numFmtId="0" fontId="17" fillId="3" borderId="44" xfId="0" applyNumberFormat="1" applyFont="1" applyFill="1" applyBorder="1" applyAlignment="1" applyProtection="1">
      <alignment horizontal="left" vertical="center"/>
      <protection locked="0"/>
    </xf>
    <xf numFmtId="0" fontId="17" fillId="0" borderId="0" xfId="0" applyNumberFormat="1" applyFont="1" applyAlignment="1" applyProtection="1">
      <alignment horizontal="left" vertical="center"/>
      <protection locked="0"/>
    </xf>
    <xf numFmtId="0" fontId="3" fillId="7" borderId="0" xfId="0" applyFont="1" applyFill="1" applyAlignment="1" applyProtection="1">
      <alignment horizontal="left" vertical="center"/>
      <protection hidden="1"/>
    </xf>
    <xf numFmtId="0" fontId="26" fillId="7" borderId="0" xfId="1" applyFont="1" applyFill="1" applyAlignment="1" applyProtection="1">
      <alignment horizontal="left" vertical="center"/>
      <protection hidden="1"/>
    </xf>
    <xf numFmtId="0" fontId="11" fillId="0" borderId="0" xfId="0" applyFont="1" applyAlignment="1" applyProtection="1">
      <alignment horizontal="left" vertical="center"/>
      <protection hidden="1"/>
    </xf>
    <xf numFmtId="0" fontId="11" fillId="0" borderId="0" xfId="0" applyFont="1" applyAlignment="1" applyProtection="1">
      <alignment horizontal="center" vertical="center"/>
      <protection hidden="1"/>
    </xf>
    <xf numFmtId="0" fontId="11" fillId="0" borderId="0" xfId="0" applyFont="1" applyFill="1" applyAlignment="1" applyProtection="1">
      <alignment horizontal="center"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8" borderId="2" xfId="0" applyFont="1" applyFill="1" applyBorder="1" applyAlignment="1" applyProtection="1">
      <alignment horizontal="center" vertical="center"/>
      <protection locked="0"/>
    </xf>
    <xf numFmtId="0" fontId="3" fillId="8" borderId="3" xfId="0" applyFont="1" applyFill="1" applyBorder="1" applyAlignment="1" applyProtection="1">
      <alignment horizontal="center" vertical="center"/>
      <protection locked="0"/>
    </xf>
    <xf numFmtId="0" fontId="3" fillId="8" borderId="7" xfId="0" applyFont="1" applyFill="1" applyBorder="1" applyAlignment="1" applyProtection="1">
      <alignment horizontal="center" vertical="center"/>
      <protection locked="0"/>
    </xf>
    <xf numFmtId="0" fontId="3" fillId="8" borderId="8" xfId="0" applyFont="1" applyFill="1" applyBorder="1" applyAlignment="1" applyProtection="1">
      <alignment horizontal="center" vertical="center"/>
      <protection locked="0"/>
    </xf>
    <xf numFmtId="177" fontId="3" fillId="3" borderId="25" xfId="0" applyNumberFormat="1" applyFont="1" applyFill="1" applyBorder="1" applyAlignment="1" applyProtection="1">
      <alignment horizontal="center" vertical="center"/>
      <protection locked="0"/>
    </xf>
    <xf numFmtId="177" fontId="3" fillId="3" borderId="25" xfId="0" applyNumberFormat="1" applyFont="1" applyFill="1" applyBorder="1" applyAlignment="1" applyProtection="1">
      <alignment horizontal="center" vertical="center"/>
      <protection hidden="1"/>
    </xf>
    <xf numFmtId="177" fontId="3" fillId="3" borderId="36" xfId="0" applyNumberFormat="1" applyFont="1" applyFill="1" applyBorder="1" applyAlignment="1" applyProtection="1">
      <alignment horizontal="center" vertical="center"/>
      <protection hidden="1"/>
    </xf>
    <xf numFmtId="0" fontId="3" fillId="3" borderId="1" xfId="0" applyFont="1" applyFill="1" applyBorder="1" applyAlignment="1" applyProtection="1">
      <alignment horizontal="left" vertical="center"/>
      <protection hidden="1"/>
    </xf>
    <xf numFmtId="0" fontId="3" fillId="3" borderId="2" xfId="0" applyFont="1" applyFill="1" applyBorder="1" applyAlignment="1" applyProtection="1">
      <alignment horizontal="left" vertical="center"/>
      <protection hidden="1"/>
    </xf>
    <xf numFmtId="0" fontId="3" fillId="3" borderId="3" xfId="0" applyFont="1" applyFill="1" applyBorder="1" applyAlignment="1" applyProtection="1">
      <alignment horizontal="left" vertical="center"/>
      <protection hidden="1"/>
    </xf>
    <xf numFmtId="0" fontId="3" fillId="0" borderId="4" xfId="0" applyFont="1" applyBorder="1" applyAlignment="1" applyProtection="1">
      <alignment horizontal="left" vertical="center"/>
      <protection hidden="1"/>
    </xf>
    <xf numFmtId="0" fontId="3" fillId="0" borderId="0" xfId="0" applyFont="1" applyBorder="1" applyAlignment="1" applyProtection="1">
      <alignment horizontal="left" vertical="center"/>
      <protection hidden="1"/>
    </xf>
    <xf numFmtId="0" fontId="3" fillId="0" borderId="5" xfId="0" applyFont="1" applyBorder="1" applyAlignment="1" applyProtection="1">
      <alignment horizontal="left" vertical="center"/>
      <protection hidden="1"/>
    </xf>
    <xf numFmtId="0" fontId="3" fillId="3" borderId="4" xfId="0" applyFont="1" applyFill="1" applyBorder="1" applyAlignment="1" applyProtection="1">
      <alignment horizontal="left" vertical="center"/>
      <protection hidden="1"/>
    </xf>
    <xf numFmtId="0" fontId="3" fillId="3" borderId="0" xfId="0" applyFont="1" applyFill="1" applyBorder="1" applyAlignment="1" applyProtection="1">
      <alignment horizontal="left" vertical="center"/>
      <protection hidden="1"/>
    </xf>
    <xf numFmtId="0" fontId="3" fillId="3" borderId="5" xfId="0" applyFont="1" applyFill="1" applyBorder="1" applyAlignment="1" applyProtection="1">
      <alignment horizontal="left" vertical="center"/>
      <protection hidden="1"/>
    </xf>
    <xf numFmtId="0" fontId="3" fillId="3" borderId="6" xfId="0" applyFont="1" applyFill="1" applyBorder="1" applyAlignment="1" applyProtection="1">
      <alignment horizontal="left" vertical="center"/>
      <protection hidden="1"/>
    </xf>
    <xf numFmtId="0" fontId="3" fillId="3" borderId="7" xfId="0" applyFont="1" applyFill="1" applyBorder="1" applyAlignment="1" applyProtection="1">
      <alignment horizontal="left" vertical="center"/>
      <protection hidden="1"/>
    </xf>
    <xf numFmtId="0" fontId="3" fillId="3" borderId="8" xfId="0" applyFont="1" applyFill="1" applyBorder="1" applyAlignment="1" applyProtection="1">
      <alignment horizontal="left" vertical="center"/>
      <protection hidden="1"/>
    </xf>
    <xf numFmtId="0" fontId="3" fillId="0" borderId="19" xfId="0" applyFont="1" applyBorder="1" applyAlignment="1" applyProtection="1">
      <alignment horizontal="center" vertical="center"/>
      <protection hidden="1"/>
    </xf>
    <xf numFmtId="0" fontId="3" fillId="0" borderId="7" xfId="0" applyFont="1" applyBorder="1" applyAlignment="1" applyProtection="1">
      <alignment horizontal="center" vertical="center"/>
      <protection hidden="1"/>
    </xf>
    <xf numFmtId="0" fontId="3" fillId="3" borderId="19" xfId="0" applyFont="1" applyFill="1" applyBorder="1" applyAlignment="1" applyProtection="1">
      <alignment horizontal="center" vertical="center"/>
      <protection hidden="1"/>
    </xf>
    <xf numFmtId="177" fontId="3" fillId="3" borderId="9" xfId="0" applyNumberFormat="1" applyFont="1" applyFill="1" applyBorder="1" applyAlignment="1" applyProtection="1">
      <alignment horizontal="center" vertical="center"/>
      <protection locked="0"/>
    </xf>
    <xf numFmtId="177" fontId="3" fillId="0" borderId="9" xfId="0" applyNumberFormat="1" applyFont="1" applyBorder="1" applyAlignment="1" applyProtection="1">
      <alignment horizontal="center" vertical="center"/>
      <protection locked="0"/>
    </xf>
    <xf numFmtId="0" fontId="3" fillId="6" borderId="40" xfId="0" applyNumberFormat="1" applyFont="1" applyFill="1" applyBorder="1" applyAlignment="1" applyProtection="1">
      <alignment horizontal="right" vertical="center" wrapText="1"/>
      <protection hidden="1"/>
    </xf>
    <xf numFmtId="0" fontId="3" fillId="6" borderId="11" xfId="0" applyNumberFormat="1" applyFont="1" applyFill="1" applyBorder="1" applyAlignment="1" applyProtection="1">
      <alignment horizontal="right" vertical="center" wrapText="1"/>
      <protection hidden="1"/>
    </xf>
    <xf numFmtId="0" fontId="3" fillId="6" borderId="15" xfId="0" applyNumberFormat="1" applyFont="1" applyFill="1" applyBorder="1" applyAlignment="1" applyProtection="1">
      <alignment horizontal="left" vertical="center"/>
      <protection locked="0"/>
    </xf>
    <xf numFmtId="0" fontId="3" fillId="6" borderId="16" xfId="0" applyNumberFormat="1" applyFont="1" applyFill="1" applyBorder="1" applyAlignment="1" applyProtection="1">
      <alignment horizontal="left" vertical="center"/>
      <protection locked="0"/>
    </xf>
    <xf numFmtId="177" fontId="3" fillId="0" borderId="9" xfId="0" applyNumberFormat="1" applyFont="1" applyBorder="1" applyAlignment="1" applyProtection="1">
      <alignment horizontal="center" vertical="center"/>
      <protection hidden="1"/>
    </xf>
    <xf numFmtId="177" fontId="3" fillId="0" borderId="17" xfId="0"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26" fillId="7" borderId="0" xfId="1" applyFont="1" applyFill="1" applyAlignment="1" applyProtection="1">
      <alignment horizontal="center" vertical="center"/>
      <protection hidden="1"/>
    </xf>
    <xf numFmtId="177" fontId="3" fillId="3" borderId="9" xfId="0" applyNumberFormat="1" applyFont="1" applyFill="1" applyBorder="1" applyAlignment="1" applyProtection="1">
      <alignment horizontal="center" vertical="center"/>
      <protection hidden="1"/>
    </xf>
    <xf numFmtId="177" fontId="3" fillId="3" borderId="23" xfId="0" applyNumberFormat="1" applyFont="1" applyFill="1" applyBorder="1" applyAlignment="1" applyProtection="1">
      <alignment horizontal="center" vertical="center"/>
      <protection hidden="1"/>
    </xf>
    <xf numFmtId="177" fontId="3" fillId="3" borderId="17" xfId="0" applyNumberFormat="1" applyFont="1" applyFill="1" applyBorder="1" applyAlignment="1" applyProtection="1">
      <alignment horizontal="center" vertical="center"/>
      <protection hidden="1"/>
    </xf>
    <xf numFmtId="0" fontId="3" fillId="3" borderId="9" xfId="0" applyNumberFormat="1" applyFont="1" applyFill="1" applyBorder="1" applyAlignment="1" applyProtection="1">
      <alignment horizontal="center" vertical="center"/>
      <protection locked="0"/>
    </xf>
    <xf numFmtId="0" fontId="3" fillId="6" borderId="9" xfId="0" applyNumberFormat="1" applyFont="1" applyFill="1" applyBorder="1" applyAlignment="1" applyProtection="1">
      <alignment horizontal="center" vertical="center"/>
      <protection locked="0"/>
    </xf>
    <xf numFmtId="177" fontId="3" fillId="0" borderId="23" xfId="0" applyNumberFormat="1" applyFont="1" applyBorder="1" applyAlignment="1" applyProtection="1">
      <alignment horizontal="center" vertical="center"/>
      <protection hidden="1"/>
    </xf>
    <xf numFmtId="0" fontId="3" fillId="3" borderId="46" xfId="0" applyNumberFormat="1" applyFont="1" applyFill="1" applyBorder="1" applyAlignment="1" applyProtection="1">
      <alignment horizontal="right" vertical="center"/>
      <protection hidden="1"/>
    </xf>
    <xf numFmtId="0" fontId="3" fillId="3" borderId="27" xfId="0" applyNumberFormat="1" applyFont="1" applyFill="1" applyBorder="1" applyAlignment="1" applyProtection="1">
      <alignment horizontal="right" vertical="center"/>
      <protection hidden="1"/>
    </xf>
    <xf numFmtId="0" fontId="3" fillId="8" borderId="27" xfId="0" applyNumberFormat="1" applyFont="1" applyFill="1" applyBorder="1" applyAlignment="1" applyProtection="1">
      <alignment horizontal="left" vertical="center"/>
      <protection locked="0"/>
    </xf>
    <xf numFmtId="0" fontId="3" fillId="8" borderId="35" xfId="0" applyNumberFormat="1" applyFont="1" applyFill="1" applyBorder="1" applyAlignment="1" applyProtection="1">
      <alignment horizontal="left" vertical="center"/>
      <protection locked="0"/>
    </xf>
    <xf numFmtId="177" fontId="3" fillId="3" borderId="25" xfId="0" applyNumberFormat="1" applyFont="1" applyFill="1" applyBorder="1" applyAlignment="1" applyProtection="1">
      <alignment horizontal="center" vertical="center"/>
    </xf>
    <xf numFmtId="0" fontId="3" fillId="6" borderId="14" xfId="0" applyNumberFormat="1" applyFont="1" applyFill="1" applyBorder="1" applyAlignment="1" applyProtection="1">
      <alignment horizontal="center" vertical="center"/>
      <protection locked="0"/>
    </xf>
    <xf numFmtId="0" fontId="3" fillId="6" borderId="15" xfId="0" applyNumberFormat="1" applyFont="1" applyFill="1" applyBorder="1" applyAlignment="1" applyProtection="1">
      <alignment horizontal="center" vertical="center"/>
      <protection locked="0"/>
    </xf>
    <xf numFmtId="0" fontId="3" fillId="6" borderId="16" xfId="0" applyNumberFormat="1" applyFont="1" applyFill="1" applyBorder="1" applyAlignment="1" applyProtection="1">
      <alignment horizontal="center" vertical="center"/>
      <protection locked="0"/>
    </xf>
    <xf numFmtId="0" fontId="3" fillId="3" borderId="48" xfId="0" applyNumberFormat="1" applyFont="1" applyFill="1" applyBorder="1" applyAlignment="1" applyProtection="1">
      <alignment horizontal="center" vertical="center"/>
      <protection hidden="1"/>
    </xf>
    <xf numFmtId="0" fontId="3" fillId="3" borderId="27" xfId="0" applyNumberFormat="1" applyFont="1" applyFill="1" applyBorder="1" applyAlignment="1" applyProtection="1">
      <alignment horizontal="center" vertical="center"/>
      <protection hidden="1"/>
    </xf>
    <xf numFmtId="0" fontId="3" fillId="3" borderId="28" xfId="0" applyNumberFormat="1" applyFont="1" applyFill="1" applyBorder="1" applyAlignment="1" applyProtection="1">
      <alignment horizontal="center" vertical="center"/>
      <protection hidden="1"/>
    </xf>
    <xf numFmtId="0" fontId="3" fillId="3" borderId="21" xfId="0" applyNumberFormat="1" applyFont="1" applyFill="1" applyBorder="1" applyAlignment="1" applyProtection="1">
      <alignment horizontal="right" vertical="center"/>
      <protection hidden="1"/>
    </xf>
    <xf numFmtId="0" fontId="3" fillId="3" borderId="14"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left" vertical="center"/>
      <protection locked="0"/>
    </xf>
    <xf numFmtId="0" fontId="3" fillId="3" borderId="16" xfId="0" applyNumberFormat="1" applyFont="1" applyFill="1" applyBorder="1" applyAlignment="1" applyProtection="1">
      <alignment horizontal="left" vertical="center"/>
      <protection locked="0"/>
    </xf>
    <xf numFmtId="0" fontId="3" fillId="3" borderId="21" xfId="0" applyNumberFormat="1" applyFont="1" applyFill="1" applyBorder="1" applyAlignment="1" applyProtection="1">
      <alignment horizontal="center" vertical="center"/>
      <protection hidden="1"/>
    </xf>
    <xf numFmtId="0" fontId="3" fillId="3" borderId="9" xfId="0" applyNumberFormat="1" applyFont="1" applyFill="1" applyBorder="1" applyAlignment="1" applyProtection="1">
      <alignment horizontal="center" vertical="center"/>
      <protection hidden="1"/>
    </xf>
    <xf numFmtId="177" fontId="3" fillId="3" borderId="9" xfId="0" applyNumberFormat="1" applyFont="1" applyFill="1" applyBorder="1" applyAlignment="1" applyProtection="1">
      <alignment horizontal="center" vertical="center"/>
    </xf>
    <xf numFmtId="0" fontId="3" fillId="0" borderId="21"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hidden="1"/>
    </xf>
    <xf numFmtId="177" fontId="3" fillId="0" borderId="9" xfId="0" applyNumberFormat="1" applyFont="1" applyBorder="1" applyAlignment="1" applyProtection="1">
      <alignment horizontal="center" vertical="center"/>
    </xf>
    <xf numFmtId="0" fontId="3" fillId="6" borderId="9" xfId="0" applyNumberFormat="1" applyFont="1" applyFill="1" applyBorder="1" applyAlignment="1" applyProtection="1">
      <alignment horizontal="center" vertical="center"/>
      <protection hidden="1"/>
    </xf>
    <xf numFmtId="0" fontId="14" fillId="3" borderId="39" xfId="0" applyNumberFormat="1" applyFont="1" applyFill="1" applyBorder="1" applyAlignment="1" applyProtection="1">
      <alignment horizontal="right" vertical="center" wrapText="1"/>
      <protection hidden="1"/>
    </xf>
    <xf numFmtId="0" fontId="14" fillId="3" borderId="15" xfId="0" applyNumberFormat="1" applyFont="1" applyFill="1" applyBorder="1" applyAlignment="1" applyProtection="1">
      <alignment horizontal="right" vertical="center" wrapText="1"/>
      <protection hidden="1"/>
    </xf>
    <xf numFmtId="0" fontId="14" fillId="3" borderId="15" xfId="0" applyNumberFormat="1" applyFont="1" applyFill="1" applyBorder="1" applyAlignment="1" applyProtection="1">
      <alignment horizontal="left" vertical="center"/>
      <protection locked="0" hidden="1"/>
    </xf>
    <xf numFmtId="0" fontId="14" fillId="3" borderId="16" xfId="0" applyNumberFormat="1" applyFont="1" applyFill="1" applyBorder="1" applyAlignment="1" applyProtection="1">
      <alignment horizontal="left" vertical="center"/>
      <protection locked="0" hidden="1"/>
    </xf>
    <xf numFmtId="0" fontId="14" fillId="0" borderId="21" xfId="0" applyNumberFormat="1" applyFont="1" applyBorder="1" applyAlignment="1" applyProtection="1">
      <alignment horizontal="right" vertical="center"/>
      <protection hidden="1"/>
    </xf>
    <xf numFmtId="0" fontId="14" fillId="0" borderId="14" xfId="0" applyNumberFormat="1" applyFont="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hidden="1"/>
    </xf>
    <xf numFmtId="0" fontId="14" fillId="6" borderId="16" xfId="0" applyNumberFormat="1" applyFont="1" applyFill="1" applyBorder="1" applyAlignment="1" applyProtection="1">
      <alignment horizontal="left" vertical="center"/>
      <protection locked="0" hidden="1"/>
    </xf>
    <xf numFmtId="177" fontId="3" fillId="0" borderId="14" xfId="0" applyNumberFormat="1" applyFont="1" applyBorder="1" applyAlignment="1" applyProtection="1">
      <alignment horizontal="center" vertical="center"/>
    </xf>
    <xf numFmtId="177" fontId="3" fillId="0" borderId="16" xfId="0" applyNumberFormat="1" applyFont="1" applyBorder="1" applyAlignment="1" applyProtection="1">
      <alignment horizontal="center" vertical="center"/>
    </xf>
    <xf numFmtId="0" fontId="3" fillId="3" borderId="15"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left" vertical="center"/>
      <protection locked="0" hidden="1"/>
    </xf>
    <xf numFmtId="0" fontId="3" fillId="3" borderId="16" xfId="0" applyNumberFormat="1" applyFont="1" applyFill="1" applyBorder="1" applyAlignment="1" applyProtection="1">
      <alignment horizontal="left" vertical="center"/>
      <protection locked="0" hidden="1"/>
    </xf>
    <xf numFmtId="0" fontId="14" fillId="3" borderId="9"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xf>
    <xf numFmtId="177" fontId="3" fillId="3" borderId="16" xfId="0" applyNumberFormat="1" applyFont="1" applyFill="1" applyBorder="1" applyAlignment="1" applyProtection="1">
      <alignment horizontal="center" vertical="center"/>
    </xf>
    <xf numFmtId="0" fontId="14" fillId="6" borderId="39"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xf>
    <xf numFmtId="0" fontId="14" fillId="6" borderId="16" xfId="0" applyNumberFormat="1" applyFont="1" applyFill="1" applyBorder="1" applyAlignment="1" applyProtection="1">
      <alignment horizontal="left" vertical="center"/>
      <protection locked="0"/>
    </xf>
    <xf numFmtId="0" fontId="14" fillId="3" borderId="21" xfId="0" applyNumberFormat="1" applyFont="1" applyFill="1" applyBorder="1" applyAlignment="1" applyProtection="1">
      <alignment horizontal="right" vertical="center"/>
      <protection hidden="1"/>
    </xf>
    <xf numFmtId="0" fontId="14"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xf>
    <xf numFmtId="0" fontId="14" fillId="3" borderId="16" xfId="0" applyNumberFormat="1" applyFont="1" applyFill="1" applyBorder="1" applyAlignment="1" applyProtection="1">
      <alignment horizontal="left" vertical="center"/>
      <protection locked="0"/>
    </xf>
    <xf numFmtId="0" fontId="14" fillId="6" borderId="40" xfId="0" applyNumberFormat="1" applyFont="1" applyFill="1" applyBorder="1" applyAlignment="1" applyProtection="1">
      <alignment horizontal="right" vertical="center"/>
      <protection hidden="1"/>
    </xf>
    <xf numFmtId="0" fontId="14" fillId="6" borderId="11"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hidden="1"/>
    </xf>
    <xf numFmtId="0" fontId="14" fillId="6" borderId="16" xfId="0" applyNumberFormat="1" applyFont="1" applyFill="1" applyBorder="1" applyAlignment="1" applyProtection="1">
      <alignment horizontal="left" vertical="center"/>
      <protection hidden="1"/>
    </xf>
    <xf numFmtId="0" fontId="3" fillId="3" borderId="10" xfId="0" applyNumberFormat="1" applyFont="1" applyFill="1" applyBorder="1" applyAlignment="1" applyProtection="1">
      <alignment horizontal="right" vertical="center"/>
      <protection hidden="1"/>
    </xf>
    <xf numFmtId="0" fontId="3" fillId="3" borderId="11" xfId="0" applyNumberFormat="1" applyFont="1" applyFill="1" applyBorder="1" applyAlignment="1" applyProtection="1">
      <alignment horizontal="right" vertical="center"/>
      <protection hidden="1"/>
    </xf>
    <xf numFmtId="0" fontId="3" fillId="0" borderId="10" xfId="0" applyNumberFormat="1" applyFont="1" applyFill="1" applyBorder="1" applyAlignment="1" applyProtection="1">
      <alignment horizontal="right" vertical="center"/>
      <protection hidden="1"/>
    </xf>
    <xf numFmtId="0" fontId="3" fillId="0" borderId="11" xfId="0" applyNumberFormat="1" applyFont="1" applyFill="1" applyBorder="1" applyAlignment="1" applyProtection="1">
      <alignment horizontal="right" vertical="center"/>
      <protection hidden="1"/>
    </xf>
    <xf numFmtId="177" fontId="3" fillId="3" borderId="14" xfId="0" applyNumberFormat="1" applyFont="1" applyFill="1" applyBorder="1" applyAlignment="1" applyProtection="1">
      <alignment horizontal="center" vertical="center" wrapText="1"/>
      <protection locked="0"/>
    </xf>
    <xf numFmtId="177" fontId="3" fillId="3" borderId="16" xfId="0" applyNumberFormat="1" applyFont="1" applyFill="1" applyBorder="1" applyAlignment="1" applyProtection="1">
      <alignment horizontal="center" vertical="center" wrapText="1"/>
      <protection locked="0"/>
    </xf>
    <xf numFmtId="177" fontId="3" fillId="9" borderId="9" xfId="0" applyNumberFormat="1" applyFont="1" applyFill="1" applyBorder="1" applyAlignment="1" applyProtection="1">
      <alignment horizontal="center" vertical="center"/>
      <protection locked="0"/>
    </xf>
    <xf numFmtId="0" fontId="3" fillId="0" borderId="39"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left" vertical="center"/>
      <protection locked="0"/>
    </xf>
    <xf numFmtId="0" fontId="3" fillId="0" borderId="16" xfId="0" applyNumberFormat="1" applyFont="1" applyBorder="1" applyAlignment="1" applyProtection="1">
      <alignment horizontal="left" vertical="center"/>
      <protection locked="0"/>
    </xf>
    <xf numFmtId="0" fontId="3" fillId="3" borderId="39" xfId="0" applyNumberFormat="1" applyFont="1" applyFill="1" applyBorder="1" applyAlignment="1" applyProtection="1">
      <alignment horizontal="right" vertical="center"/>
      <protection hidden="1"/>
    </xf>
    <xf numFmtId="0" fontId="3" fillId="3" borderId="21"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wrapText="1"/>
      <protection hidden="1"/>
    </xf>
    <xf numFmtId="0" fontId="3" fillId="3" borderId="24" xfId="0" applyFont="1" applyFill="1" applyBorder="1" applyAlignment="1" applyProtection="1">
      <alignment horizontal="center" vertical="center" wrapText="1"/>
      <protection hidden="1"/>
    </xf>
    <xf numFmtId="0" fontId="3" fillId="3" borderId="25"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protection locked="0"/>
    </xf>
    <xf numFmtId="0" fontId="3" fillId="3" borderId="25" xfId="0" applyFont="1" applyFill="1" applyBorder="1" applyAlignment="1" applyProtection="1">
      <alignment horizontal="center" vertical="center"/>
      <protection locked="0"/>
    </xf>
    <xf numFmtId="1" fontId="3" fillId="3" borderId="9" xfId="0" applyNumberFormat="1" applyFont="1" applyFill="1" applyBorder="1" applyAlignment="1" applyProtection="1">
      <alignment horizontal="center" vertical="center"/>
      <protection hidden="1"/>
    </xf>
    <xf numFmtId="0" fontId="4" fillId="0" borderId="9" xfId="0" applyFont="1" applyBorder="1" applyAlignment="1" applyProtection="1">
      <alignment horizontal="center" vertical="center" wrapText="1"/>
      <protection hidden="1"/>
    </xf>
    <xf numFmtId="0" fontId="4" fillId="0" borderId="25"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protection locked="0"/>
    </xf>
    <xf numFmtId="0" fontId="3" fillId="0" borderId="25" xfId="0" applyFont="1" applyBorder="1" applyAlignment="1" applyProtection="1">
      <alignment horizontal="center" vertical="center"/>
      <protection locked="0"/>
    </xf>
    <xf numFmtId="1" fontId="3" fillId="0" borderId="9" xfId="0" applyNumberFormat="1" applyFont="1" applyBorder="1" applyAlignment="1" applyProtection="1">
      <alignment horizontal="center" vertical="center"/>
      <protection hidden="1"/>
    </xf>
    <xf numFmtId="0" fontId="3" fillId="3" borderId="25" xfId="0" applyFont="1" applyFill="1" applyBorder="1" applyAlignment="1" applyProtection="1">
      <alignment horizontal="center" vertical="center"/>
      <protection hidden="1"/>
    </xf>
    <xf numFmtId="0" fontId="3" fillId="0" borderId="39" xfId="0" applyFont="1" applyBorder="1" applyAlignment="1" applyProtection="1">
      <alignment horizontal="center" vertical="center"/>
      <protection hidden="1"/>
    </xf>
    <xf numFmtId="0" fontId="3" fillId="0" borderId="16" xfId="0" applyFont="1" applyBorder="1" applyAlignment="1" applyProtection="1">
      <alignment horizontal="center" vertical="center"/>
      <protection hidden="1"/>
    </xf>
    <xf numFmtId="49" fontId="3" fillId="0" borderId="14" xfId="0" applyNumberFormat="1" applyFont="1" applyBorder="1" applyAlignment="1" applyProtection="1">
      <alignment horizontal="left" vertical="center" indent="1"/>
      <protection locked="0"/>
    </xf>
    <xf numFmtId="49" fontId="3" fillId="0" borderId="15" xfId="0" applyNumberFormat="1" applyFont="1" applyBorder="1" applyAlignment="1" applyProtection="1">
      <alignment horizontal="left" vertical="center" indent="1"/>
      <protection locked="0"/>
    </xf>
    <xf numFmtId="49" fontId="3" fillId="0" borderId="22" xfId="0" applyNumberFormat="1" applyFont="1" applyBorder="1" applyAlignment="1" applyProtection="1">
      <alignment horizontal="left" vertical="center" indent="1"/>
      <protection locked="0"/>
    </xf>
    <xf numFmtId="0" fontId="11" fillId="2" borderId="18" xfId="0" applyFont="1" applyFill="1" applyBorder="1" applyAlignment="1" applyProtection="1">
      <alignment horizontal="center" vertical="center"/>
      <protection hidden="1"/>
    </xf>
    <xf numFmtId="0" fontId="11" fillId="2" borderId="19" xfId="0" applyFont="1" applyFill="1" applyBorder="1" applyAlignment="1" applyProtection="1">
      <alignment horizontal="center" vertical="center"/>
      <protection hidden="1"/>
    </xf>
    <xf numFmtId="0" fontId="11" fillId="2" borderId="20" xfId="0" applyFont="1" applyFill="1" applyBorder="1" applyAlignment="1" applyProtection="1">
      <alignment horizontal="center" vertical="center"/>
      <protection hidden="1"/>
    </xf>
    <xf numFmtId="0" fontId="3" fillId="3" borderId="39"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left" vertical="center" indent="1"/>
      <protection locked="0"/>
    </xf>
    <xf numFmtId="49" fontId="3" fillId="3" borderId="15" xfId="0" applyNumberFormat="1" applyFont="1" applyFill="1" applyBorder="1" applyAlignment="1" applyProtection="1">
      <alignment horizontal="left" vertical="center" indent="1"/>
      <protection locked="0"/>
    </xf>
    <xf numFmtId="49" fontId="3" fillId="3" borderId="22" xfId="0" applyNumberFormat="1" applyFont="1" applyFill="1" applyBorder="1" applyAlignment="1" applyProtection="1">
      <alignment horizontal="left" vertical="center" indent="1"/>
      <protection locked="0"/>
    </xf>
    <xf numFmtId="0" fontId="3" fillId="3" borderId="10" xfId="0" applyFont="1" applyFill="1" applyBorder="1" applyAlignment="1" applyProtection="1">
      <alignment horizontal="center" vertical="center" wrapText="1"/>
      <protection hidden="1"/>
    </xf>
    <xf numFmtId="0" fontId="3" fillId="3" borderId="11" xfId="0" applyFont="1" applyFill="1" applyBorder="1" applyAlignment="1" applyProtection="1">
      <alignment horizontal="center" vertical="center" wrapText="1"/>
      <protection hidden="1"/>
    </xf>
    <xf numFmtId="0" fontId="3" fillId="3" borderId="37"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wrapText="1"/>
      <protection hidden="1"/>
    </xf>
    <xf numFmtId="0" fontId="3" fillId="3" borderId="7" xfId="0" applyFont="1" applyFill="1" applyBorder="1" applyAlignment="1" applyProtection="1">
      <alignment horizontal="center" vertical="center" wrapText="1"/>
      <protection hidden="1"/>
    </xf>
    <xf numFmtId="0" fontId="3" fillId="3" borderId="8" xfId="0" applyFont="1" applyFill="1" applyBorder="1" applyAlignment="1" applyProtection="1">
      <alignment horizontal="center" vertical="center" wrapText="1"/>
      <protection hidden="1"/>
    </xf>
    <xf numFmtId="1" fontId="3" fillId="0" borderId="23" xfId="0" applyNumberFormat="1" applyFont="1" applyBorder="1" applyAlignment="1" applyProtection="1">
      <alignment horizontal="center" vertical="center"/>
      <protection hidden="1"/>
    </xf>
    <xf numFmtId="0" fontId="3" fillId="0" borderId="10" xfId="0" applyFont="1" applyBorder="1" applyAlignment="1" applyProtection="1">
      <alignment horizontal="center" vertical="center"/>
      <protection hidden="1"/>
    </xf>
    <xf numFmtId="0" fontId="3" fillId="0" borderId="37" xfId="0" applyFont="1" applyBorder="1" applyAlignment="1" applyProtection="1">
      <alignment horizontal="center" vertical="center"/>
      <protection hidden="1"/>
    </xf>
    <xf numFmtId="0" fontId="3" fillId="0" borderId="12" xfId="0" applyFont="1" applyBorder="1" applyAlignment="1" applyProtection="1">
      <alignment horizontal="center" vertical="center"/>
      <protection hidden="1"/>
    </xf>
    <xf numFmtId="0" fontId="3" fillId="0" borderId="38" xfId="0" applyFont="1" applyBorder="1" applyAlignment="1" applyProtection="1">
      <alignment horizontal="center" vertical="center"/>
      <protection hidden="1"/>
    </xf>
    <xf numFmtId="0" fontId="3" fillId="3" borderId="1" xfId="0" applyFont="1" applyFill="1" applyBorder="1" applyAlignment="1" applyProtection="1">
      <alignment horizontal="center" vertical="center" wrapText="1"/>
      <protection hidden="1"/>
    </xf>
    <xf numFmtId="0" fontId="3" fillId="3" borderId="2" xfId="0" applyFont="1" applyFill="1" applyBorder="1" applyAlignment="1" applyProtection="1">
      <alignment horizontal="center" vertical="center" wrapText="1"/>
      <protection hidden="1"/>
    </xf>
    <xf numFmtId="0" fontId="3" fillId="3" borderId="6" xfId="0" applyFont="1" applyFill="1" applyBorder="1" applyAlignment="1" applyProtection="1">
      <alignment horizontal="center" vertical="center" wrapText="1"/>
      <protection hidden="1"/>
    </xf>
    <xf numFmtId="1" fontId="3" fillId="0" borderId="25" xfId="0" applyNumberFormat="1" applyFont="1" applyBorder="1" applyAlignment="1" applyProtection="1">
      <alignment horizontal="center" vertical="center"/>
      <protection hidden="1"/>
    </xf>
    <xf numFmtId="0" fontId="3" fillId="7" borderId="7" xfId="0" applyFont="1" applyFill="1" applyBorder="1" applyAlignment="1" applyProtection="1">
      <alignment horizontal="left" vertical="center"/>
      <protection hidden="1"/>
    </xf>
    <xf numFmtId="0" fontId="3" fillId="3" borderId="10" xfId="0" applyFont="1" applyFill="1" applyBorder="1" applyAlignment="1" applyProtection="1">
      <alignment horizontal="center" vertical="center"/>
      <protection hidden="1"/>
    </xf>
    <xf numFmtId="0" fontId="3" fillId="3" borderId="45" xfId="0" applyFont="1" applyFill="1" applyBorder="1" applyAlignment="1" applyProtection="1">
      <alignment horizontal="center" vertical="center"/>
      <protection hidden="1"/>
    </xf>
    <xf numFmtId="0" fontId="3" fillId="3" borderId="12" xfId="0" applyFont="1" applyFill="1" applyBorder="1" applyAlignment="1" applyProtection="1">
      <alignment horizontal="center" vertical="center"/>
      <protection hidden="1"/>
    </xf>
    <xf numFmtId="0" fontId="3" fillId="3" borderId="47" xfId="0" applyFont="1" applyFill="1" applyBorder="1" applyAlignment="1" applyProtection="1">
      <alignment horizontal="center" vertical="center"/>
      <protection hidden="1"/>
    </xf>
    <xf numFmtId="0" fontId="3" fillId="0" borderId="10" xfId="0" applyFont="1" applyBorder="1" applyAlignment="1" applyProtection="1">
      <alignment horizontal="center" vertical="center" wrapText="1"/>
      <protection hidden="1"/>
    </xf>
    <xf numFmtId="0" fontId="3" fillId="0" borderId="45"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47" xfId="0" applyFont="1" applyBorder="1" applyAlignment="1" applyProtection="1">
      <alignment horizontal="center" vertical="center" wrapText="1"/>
      <protection hidden="1"/>
    </xf>
    <xf numFmtId="0" fontId="3" fillId="3" borderId="20" xfId="0" applyFont="1" applyFill="1" applyBorder="1" applyAlignment="1" applyProtection="1">
      <alignment horizontal="center" vertical="center"/>
      <protection hidden="1"/>
    </xf>
    <xf numFmtId="0" fontId="3" fillId="3" borderId="7" xfId="0" applyFont="1" applyFill="1" applyBorder="1" applyAlignment="1" applyProtection="1">
      <alignment horizontal="center" vertical="center"/>
      <protection hidden="1"/>
    </xf>
    <xf numFmtId="1" fontId="3" fillId="0" borderId="7" xfId="0" applyNumberFormat="1" applyFont="1" applyBorder="1" applyAlignment="1" applyProtection="1">
      <alignment horizontal="center" vertical="center"/>
      <protection hidden="1"/>
    </xf>
    <xf numFmtId="0" fontId="3" fillId="3" borderId="8" xfId="0" applyFont="1" applyFill="1" applyBorder="1" applyAlignment="1" applyProtection="1">
      <alignment horizontal="center" vertical="center"/>
      <protection hidden="1"/>
    </xf>
    <xf numFmtId="0" fontId="3" fillId="3" borderId="40" xfId="0" applyFont="1" applyFill="1" applyBorder="1" applyAlignment="1" applyProtection="1">
      <alignment horizontal="center" vertical="center" wrapText="1"/>
      <protection hidden="1"/>
    </xf>
    <xf numFmtId="0" fontId="3" fillId="3" borderId="45" xfId="0" applyFont="1" applyFill="1" applyBorder="1" applyAlignment="1" applyProtection="1">
      <alignment horizontal="center" vertical="center" wrapText="1"/>
      <protection hidden="1"/>
    </xf>
    <xf numFmtId="0" fontId="3" fillId="3" borderId="34"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protection hidden="1"/>
    </xf>
    <xf numFmtId="0" fontId="3" fillId="3" borderId="34" xfId="0" applyFont="1" applyFill="1" applyBorder="1" applyAlignment="1" applyProtection="1">
      <alignment horizontal="center" vertical="center"/>
      <protection hidden="1"/>
    </xf>
    <xf numFmtId="0" fontId="3" fillId="0" borderId="40" xfId="0" applyFont="1" applyBorder="1" applyAlignment="1" applyProtection="1">
      <alignment horizontal="center" vertical="center" wrapText="1"/>
      <protection hidden="1"/>
    </xf>
    <xf numFmtId="0" fontId="3" fillId="0" borderId="41" xfId="0" applyFont="1" applyBorder="1" applyAlignment="1" applyProtection="1">
      <alignment horizontal="center" vertical="center" wrapText="1"/>
      <protection hidden="1"/>
    </xf>
    <xf numFmtId="0" fontId="3" fillId="0" borderId="45" xfId="0" applyFont="1" applyBorder="1" applyAlignment="1" applyProtection="1">
      <alignment horizontal="center" vertical="center"/>
      <protection hidden="1"/>
    </xf>
    <xf numFmtId="0" fontId="3" fillId="0" borderId="47" xfId="0" applyFont="1" applyBorder="1" applyAlignment="1" applyProtection="1">
      <alignment horizontal="center" vertical="center"/>
      <protection hidden="1"/>
    </xf>
    <xf numFmtId="0" fontId="3" fillId="0" borderId="9" xfId="0" applyFont="1" applyBorder="1" applyAlignment="1" applyProtection="1">
      <alignment horizontal="center" vertical="center" wrapText="1"/>
      <protection hidden="1"/>
    </xf>
    <xf numFmtId="0" fontId="3" fillId="3" borderId="41" xfId="0" applyFont="1" applyFill="1" applyBorder="1" applyAlignment="1" applyProtection="1">
      <alignment horizontal="center" vertical="center" wrapText="1"/>
      <protection hidden="1"/>
    </xf>
    <xf numFmtId="0" fontId="3" fillId="3" borderId="47"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protection hidden="1"/>
    </xf>
    <xf numFmtId="1" fontId="3" fillId="3" borderId="23" xfId="0" applyNumberFormat="1" applyFont="1" applyFill="1" applyBorder="1" applyAlignment="1" applyProtection="1">
      <alignment horizontal="center" vertical="center"/>
      <protection hidden="1"/>
    </xf>
    <xf numFmtId="0" fontId="14" fillId="3" borderId="9" xfId="0" applyFont="1" applyFill="1" applyBorder="1" applyAlignment="1" applyProtection="1">
      <alignment horizontal="center" vertical="center" wrapText="1"/>
      <protection hidden="1"/>
    </xf>
    <xf numFmtId="0" fontId="3" fillId="0" borderId="9" xfId="0" applyFont="1" applyBorder="1" applyAlignment="1" applyProtection="1">
      <alignment horizontal="center" vertical="center"/>
      <protection hidden="1"/>
    </xf>
    <xf numFmtId="0" fontId="3" fillId="3" borderId="12" xfId="0" applyFont="1" applyFill="1" applyBorder="1" applyAlignment="1" applyProtection="1">
      <alignment horizontal="center" vertical="center" wrapText="1"/>
      <protection hidden="1"/>
    </xf>
    <xf numFmtId="0" fontId="23" fillId="7" borderId="0" xfId="0" applyFont="1" applyFill="1" applyAlignment="1" applyProtection="1">
      <alignment horizontal="left" vertical="center"/>
      <protection hidden="1"/>
    </xf>
    <xf numFmtId="0" fontId="26" fillId="7" borderId="0" xfId="1" applyFont="1" applyFill="1" applyAlignment="1" applyProtection="1">
      <alignment horizontal="left" vertical="center"/>
      <protection hidden="1"/>
    </xf>
    <xf numFmtId="0" fontId="3" fillId="3" borderId="1" xfId="0" applyFont="1" applyFill="1" applyBorder="1" applyAlignment="1" applyProtection="1">
      <alignment horizontal="center" vertical="center"/>
      <protection hidden="1"/>
    </xf>
    <xf numFmtId="0" fontId="3" fillId="3" borderId="2" xfId="0" applyFont="1" applyFill="1" applyBorder="1" applyAlignment="1" applyProtection="1">
      <alignment horizontal="center" vertical="center"/>
      <protection hidden="1"/>
    </xf>
    <xf numFmtId="0" fontId="3" fillId="3" borderId="6" xfId="0" applyFont="1" applyFill="1" applyBorder="1" applyAlignment="1" applyProtection="1">
      <alignment horizontal="center" vertical="center"/>
      <protection hidden="1"/>
    </xf>
    <xf numFmtId="0" fontId="3" fillId="3" borderId="3" xfId="0" applyFont="1" applyFill="1" applyBorder="1" applyAlignment="1" applyProtection="1">
      <alignment horizontal="center" vertical="center"/>
      <protection hidden="1"/>
    </xf>
    <xf numFmtId="0" fontId="3" fillId="3" borderId="55" xfId="0" applyNumberFormat="1" applyFont="1" applyFill="1" applyBorder="1" applyAlignment="1" applyProtection="1">
      <alignment horizontal="center" vertical="center"/>
      <protection locked="0"/>
    </xf>
    <xf numFmtId="0" fontId="3" fillId="3" borderId="15" xfId="0" applyNumberFormat="1" applyFont="1" applyFill="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7" borderId="0" xfId="0" applyFont="1" applyFill="1" applyAlignment="1" applyProtection="1">
      <alignment horizontal="left" vertical="center" wrapText="1"/>
      <protection hidden="1"/>
    </xf>
    <xf numFmtId="0" fontId="3" fillId="4" borderId="39" xfId="0" applyFont="1" applyFill="1" applyBorder="1" applyAlignment="1" applyProtection="1">
      <alignment horizontal="center" vertical="center"/>
      <protection hidden="1"/>
    </xf>
    <xf numFmtId="0" fontId="3" fillId="4" borderId="15" xfId="0" applyFont="1" applyFill="1" applyBorder="1" applyAlignment="1" applyProtection="1">
      <alignment horizontal="center" vertical="center"/>
      <protection hidden="1"/>
    </xf>
    <xf numFmtId="0" fontId="3" fillId="4" borderId="16" xfId="0" applyFont="1" applyFill="1" applyBorder="1" applyAlignment="1" applyProtection="1">
      <alignment horizontal="center" vertical="center"/>
      <protection hidden="1"/>
    </xf>
    <xf numFmtId="0" fontId="3" fillId="4" borderId="9" xfId="0" applyFont="1" applyFill="1" applyBorder="1" applyAlignment="1" applyProtection="1">
      <alignment horizontal="center" vertical="center"/>
      <protection hidden="1"/>
    </xf>
    <xf numFmtId="0" fontId="3" fillId="7" borderId="0" xfId="0" applyFont="1" applyFill="1" applyAlignment="1" applyProtection="1">
      <alignment horizontal="left" vertical="top" wrapText="1"/>
      <protection hidden="1"/>
    </xf>
    <xf numFmtId="0" fontId="3" fillId="7" borderId="7" xfId="0" applyFont="1" applyFill="1" applyBorder="1" applyAlignment="1" applyProtection="1">
      <alignment horizontal="left" vertical="top" wrapText="1"/>
      <protection hidden="1"/>
    </xf>
    <xf numFmtId="0" fontId="3" fillId="0" borderId="21" xfId="0" applyFont="1" applyBorder="1" applyAlignment="1" applyProtection="1">
      <alignment horizontal="center" vertical="center" wrapText="1"/>
      <protection hidden="1"/>
    </xf>
    <xf numFmtId="0" fontId="3" fillId="7" borderId="0" xfId="0" applyFont="1" applyFill="1" applyAlignment="1" applyProtection="1">
      <alignment horizontal="center" vertical="center"/>
      <protection hidden="1"/>
    </xf>
    <xf numFmtId="0" fontId="3" fillId="7" borderId="2" xfId="0" applyFont="1" applyFill="1" applyBorder="1" applyAlignment="1" applyProtection="1">
      <alignment horizontal="left" vertical="center"/>
      <protection hidden="1"/>
    </xf>
    <xf numFmtId="0" fontId="26" fillId="7" borderId="2" xfId="1" applyFont="1" applyFill="1" applyBorder="1" applyAlignment="1" applyProtection="1">
      <alignment horizontal="left" vertical="center"/>
      <protection hidden="1"/>
    </xf>
    <xf numFmtId="0" fontId="26" fillId="7" borderId="0" xfId="1" applyFont="1" applyFill="1" applyAlignment="1" applyProtection="1">
      <alignment vertical="center"/>
      <protection hidden="1"/>
    </xf>
    <xf numFmtId="0" fontId="3" fillId="7" borderId="4" xfId="0" applyFont="1" applyFill="1" applyBorder="1" applyAlignment="1" applyProtection="1">
      <alignment horizontal="center" vertical="center"/>
      <protection hidden="1"/>
    </xf>
    <xf numFmtId="0" fontId="3" fillId="7" borderId="5" xfId="0" applyFont="1" applyFill="1" applyBorder="1" applyAlignment="1" applyProtection="1">
      <alignment horizontal="center" vertical="center"/>
      <protection hidden="1"/>
    </xf>
    <xf numFmtId="0" fontId="3" fillId="7" borderId="4" xfId="0" applyFont="1" applyFill="1" applyBorder="1" applyAlignment="1" applyProtection="1">
      <alignment horizontal="left" vertical="center"/>
      <protection hidden="1"/>
    </xf>
    <xf numFmtId="0" fontId="3" fillId="7" borderId="5" xfId="0" applyFont="1" applyFill="1" applyBorder="1" applyAlignment="1" applyProtection="1">
      <alignment horizontal="left" vertical="center"/>
      <protection hidden="1"/>
    </xf>
    <xf numFmtId="0" fontId="3" fillId="9" borderId="30" xfId="0" applyFont="1" applyFill="1" applyBorder="1" applyAlignment="1" applyProtection="1">
      <alignment horizontal="center" vertical="center"/>
      <protection locked="0"/>
    </xf>
    <xf numFmtId="0" fontId="3" fillId="9" borderId="31" xfId="0" applyFont="1" applyFill="1" applyBorder="1" applyAlignment="1" applyProtection="1">
      <alignment horizontal="center" vertical="center"/>
      <protection locked="0"/>
    </xf>
    <xf numFmtId="0" fontId="3" fillId="9" borderId="25" xfId="0" applyFont="1" applyFill="1" applyBorder="1" applyAlignment="1" applyProtection="1">
      <alignment horizontal="center" vertical="center"/>
      <protection locked="0"/>
    </xf>
    <xf numFmtId="0" fontId="3" fillId="9" borderId="32" xfId="0" applyFont="1" applyFill="1" applyBorder="1" applyAlignment="1" applyProtection="1">
      <alignment horizontal="center" vertical="center"/>
      <protection locked="0"/>
    </xf>
    <xf numFmtId="176" fontId="3" fillId="3" borderId="14" xfId="0" applyNumberFormat="1" applyFont="1" applyFill="1" applyBorder="1" applyAlignment="1" applyProtection="1">
      <alignment horizontal="left" vertical="center" indent="1"/>
      <protection locked="0"/>
    </xf>
    <xf numFmtId="176" fontId="3" fillId="3" borderId="15" xfId="0" applyNumberFormat="1" applyFont="1" applyFill="1" applyBorder="1" applyAlignment="1" applyProtection="1">
      <alignment horizontal="left" vertical="center" indent="1"/>
      <protection locked="0"/>
    </xf>
    <xf numFmtId="176" fontId="3" fillId="3" borderId="16" xfId="0" applyNumberFormat="1" applyFont="1" applyFill="1" applyBorder="1" applyAlignment="1" applyProtection="1">
      <alignment horizontal="left" vertical="center" indent="1"/>
      <protection locked="0"/>
    </xf>
    <xf numFmtId="0" fontId="3" fillId="3" borderId="14" xfId="0" applyFont="1" applyFill="1" applyBorder="1" applyAlignment="1" applyProtection="1">
      <alignment horizontal="center" vertical="center"/>
      <protection hidden="1"/>
    </xf>
    <xf numFmtId="0" fontId="11" fillId="2" borderId="29" xfId="0" applyFont="1" applyFill="1" applyBorder="1" applyAlignment="1" applyProtection="1">
      <alignment horizontal="center" vertical="center"/>
      <protection hidden="1"/>
    </xf>
    <xf numFmtId="0" fontId="11" fillId="2" borderId="30" xfId="0" applyFont="1" applyFill="1" applyBorder="1" applyAlignment="1" applyProtection="1">
      <alignment horizontal="center" vertical="center"/>
      <protection hidden="1"/>
    </xf>
    <xf numFmtId="0" fontId="11" fillId="2" borderId="31" xfId="0" applyFont="1" applyFill="1" applyBorder="1" applyAlignment="1" applyProtection="1">
      <alignment horizontal="center" vertical="center"/>
      <protection hidden="1"/>
    </xf>
    <xf numFmtId="0" fontId="3" fillId="4" borderId="17" xfId="0" applyFont="1" applyFill="1" applyBorder="1" applyAlignment="1" applyProtection="1">
      <alignment horizontal="center" vertical="center"/>
      <protection hidden="1"/>
    </xf>
    <xf numFmtId="0" fontId="3" fillId="4" borderId="23" xfId="0" applyFont="1" applyFill="1" applyBorder="1" applyAlignment="1" applyProtection="1">
      <alignment horizontal="center" vertical="center"/>
      <protection hidden="1"/>
    </xf>
    <xf numFmtId="0" fontId="3" fillId="7" borderId="0" xfId="0" applyFont="1" applyFill="1" applyProtection="1">
      <alignment vertical="center"/>
      <protection hidden="1"/>
    </xf>
    <xf numFmtId="0" fontId="3" fillId="3" borderId="46" xfId="0" applyFont="1" applyFill="1" applyBorder="1" applyAlignment="1" applyProtection="1">
      <alignment horizontal="center" vertical="center"/>
      <protection hidden="1"/>
    </xf>
    <xf numFmtId="0" fontId="3" fillId="3" borderId="35" xfId="0" applyFont="1" applyFill="1" applyBorder="1" applyAlignment="1" applyProtection="1">
      <alignment horizontal="center" vertical="center"/>
      <protection hidden="1"/>
    </xf>
    <xf numFmtId="49" fontId="3" fillId="3" borderId="26" xfId="0" applyNumberFormat="1" applyFont="1" applyFill="1" applyBorder="1" applyAlignment="1" applyProtection="1">
      <alignment horizontal="left" vertical="center" indent="1"/>
      <protection locked="0"/>
    </xf>
    <xf numFmtId="49" fontId="3" fillId="3" borderId="27" xfId="0" applyNumberFormat="1" applyFont="1" applyFill="1" applyBorder="1" applyAlignment="1" applyProtection="1">
      <alignment horizontal="left" vertical="center" indent="1"/>
      <protection locked="0"/>
    </xf>
    <xf numFmtId="49" fontId="3" fillId="3" borderId="28" xfId="0" applyNumberFormat="1" applyFont="1" applyFill="1" applyBorder="1" applyAlignment="1" applyProtection="1">
      <alignment horizontal="left" vertical="center" indent="1"/>
      <protection locked="0"/>
    </xf>
    <xf numFmtId="0" fontId="3" fillId="3" borderId="29" xfId="0" applyFont="1" applyFill="1" applyBorder="1" applyAlignment="1" applyProtection="1">
      <alignment horizontal="center" vertical="center" wrapText="1"/>
      <protection hidden="1"/>
    </xf>
    <xf numFmtId="0" fontId="3" fillId="3" borderId="30" xfId="0" applyFont="1" applyFill="1" applyBorder="1" applyAlignment="1" applyProtection="1">
      <alignment horizontal="center" vertical="center" wrapText="1"/>
      <protection hidden="1"/>
    </xf>
    <xf numFmtId="0" fontId="3" fillId="3" borderId="37" xfId="0" applyFont="1" applyFill="1" applyBorder="1" applyAlignment="1" applyProtection="1">
      <alignment horizontal="center" vertical="center"/>
      <protection hidden="1"/>
    </xf>
    <xf numFmtId="0" fontId="3" fillId="3" borderId="38" xfId="0" applyFont="1" applyFill="1" applyBorder="1" applyAlignment="1" applyProtection="1">
      <alignment horizontal="center" vertical="center"/>
      <protection hidden="1"/>
    </xf>
    <xf numFmtId="0" fontId="4" fillId="0" borderId="10" xfId="0" applyFont="1" applyBorder="1" applyAlignment="1" applyProtection="1">
      <alignment horizontal="center" vertical="center" wrapText="1"/>
      <protection hidden="1"/>
    </xf>
    <xf numFmtId="0" fontId="4" fillId="0" borderId="45" xfId="0" applyFont="1" applyBorder="1" applyAlignment="1" applyProtection="1">
      <alignment horizontal="center" vertical="center" wrapText="1"/>
      <protection hidden="1"/>
    </xf>
    <xf numFmtId="0" fontId="4" fillId="0" borderId="33" xfId="0" applyFont="1" applyBorder="1" applyAlignment="1" applyProtection="1">
      <alignment horizontal="center" vertical="center" wrapText="1"/>
      <protection hidden="1"/>
    </xf>
    <xf numFmtId="0" fontId="4" fillId="0" borderId="34" xfId="0" applyFont="1" applyBorder="1" applyAlignment="1" applyProtection="1">
      <alignment horizontal="center" vertical="center" wrapText="1"/>
      <protection hidden="1"/>
    </xf>
    <xf numFmtId="0" fontId="3" fillId="0" borderId="33" xfId="0" applyFont="1" applyBorder="1" applyAlignment="1" applyProtection="1">
      <alignment horizontal="center" vertical="center"/>
      <protection hidden="1"/>
    </xf>
    <xf numFmtId="0" fontId="3" fillId="0" borderId="34" xfId="0" applyFont="1" applyBorder="1" applyAlignment="1" applyProtection="1">
      <alignment horizontal="center" vertical="center"/>
      <protection hidden="1"/>
    </xf>
    <xf numFmtId="0" fontId="3" fillId="7" borderId="0" xfId="0" applyFont="1" applyFill="1" applyAlignment="1" applyProtection="1">
      <alignment horizontal="right" vertical="center"/>
      <protection hidden="1"/>
    </xf>
    <xf numFmtId="0" fontId="3" fillId="7" borderId="0" xfId="0" applyFont="1" applyFill="1" applyAlignment="1" applyProtection="1">
      <alignment vertical="center"/>
      <protection hidden="1"/>
    </xf>
    <xf numFmtId="0" fontId="30" fillId="7" borderId="0" xfId="0" applyFont="1" applyFill="1" applyAlignment="1" applyProtection="1">
      <alignment horizontal="left" vertical="center"/>
      <protection hidden="1"/>
    </xf>
    <xf numFmtId="0" fontId="3" fillId="7" borderId="0" xfId="0" applyFont="1" applyFill="1" applyBorder="1" applyAlignment="1" applyProtection="1">
      <alignment horizontal="left" vertical="center"/>
      <protection hidden="1"/>
    </xf>
    <xf numFmtId="49" fontId="3" fillId="3" borderId="39" xfId="0" applyNumberFormat="1" applyFont="1" applyFill="1" applyBorder="1" applyAlignment="1" applyProtection="1">
      <alignment horizontal="center" vertical="top"/>
      <protection locked="0"/>
    </xf>
    <xf numFmtId="49" fontId="3" fillId="3" borderId="15" xfId="0" applyNumberFormat="1" applyFont="1" applyFill="1" applyBorder="1" applyAlignment="1" applyProtection="1">
      <alignment horizontal="center" vertical="top"/>
      <protection locked="0"/>
    </xf>
    <xf numFmtId="49" fontId="3" fillId="3" borderId="16" xfId="0" applyNumberFormat="1" applyFont="1" applyFill="1" applyBorder="1" applyAlignment="1" applyProtection="1">
      <alignment horizontal="center" vertical="top"/>
      <protection locked="0"/>
    </xf>
    <xf numFmtId="49" fontId="3" fillId="3" borderId="22" xfId="0" applyNumberFormat="1" applyFont="1" applyFill="1" applyBorder="1" applyAlignment="1" applyProtection="1">
      <alignment horizontal="center" vertical="top"/>
      <protection locked="0"/>
    </xf>
    <xf numFmtId="0" fontId="3" fillId="5" borderId="14" xfId="0" applyFont="1" applyFill="1" applyBorder="1" applyAlignment="1" applyProtection="1">
      <alignment horizontal="center" vertical="center"/>
      <protection hidden="1"/>
    </xf>
    <xf numFmtId="0" fontId="3" fillId="5" borderId="15" xfId="0" applyFont="1" applyFill="1" applyBorder="1" applyAlignment="1" applyProtection="1">
      <alignment horizontal="center" vertical="center"/>
      <protection hidden="1"/>
    </xf>
    <xf numFmtId="0" fontId="3" fillId="5" borderId="22" xfId="0" applyFont="1" applyFill="1" applyBorder="1" applyAlignment="1" applyProtection="1">
      <alignment horizontal="center" vertical="center"/>
      <protection hidden="1"/>
    </xf>
    <xf numFmtId="49" fontId="3" fillId="0" borderId="15"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3" fillId="0" borderId="46" xfId="0" applyNumberFormat="1" applyFont="1" applyBorder="1" applyAlignment="1" applyProtection="1">
      <alignment horizontal="center" vertical="center"/>
      <protection locked="0"/>
    </xf>
    <xf numFmtId="49" fontId="3" fillId="0" borderId="27"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49" fontId="3" fillId="0" borderId="26" xfId="0" applyNumberFormat="1" applyFont="1" applyBorder="1" applyAlignment="1" applyProtection="1">
      <alignment horizontal="center" vertical="center"/>
      <protection locked="0"/>
    </xf>
    <xf numFmtId="49" fontId="3" fillId="0" borderId="28" xfId="0" applyNumberFormat="1" applyFont="1" applyBorder="1" applyAlignment="1" applyProtection="1">
      <alignment horizontal="center" vertical="center"/>
      <protection locked="0"/>
    </xf>
    <xf numFmtId="0" fontId="3" fillId="0" borderId="10" xfId="0" applyFont="1" applyBorder="1" applyAlignment="1" applyProtection="1">
      <alignment horizontal="left" vertical="top" wrapText="1"/>
      <protection locked="0"/>
    </xf>
    <xf numFmtId="0" fontId="3" fillId="0" borderId="11" xfId="0" applyFont="1" applyBorder="1" applyAlignment="1" applyProtection="1">
      <alignment horizontal="left" vertical="top" wrapText="1"/>
      <protection locked="0"/>
    </xf>
    <xf numFmtId="0" fontId="3" fillId="0" borderId="37"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3" fillId="3" borderId="10" xfId="0" applyFont="1" applyFill="1" applyBorder="1" applyAlignment="1" applyProtection="1">
      <alignment horizontal="left" vertical="top" wrapText="1"/>
      <protection locked="0"/>
    </xf>
    <xf numFmtId="0" fontId="3" fillId="3" borderId="11" xfId="0" applyFont="1" applyFill="1" applyBorder="1" applyAlignment="1" applyProtection="1">
      <alignment horizontal="left" vertical="top" wrapText="1"/>
      <protection locked="0"/>
    </xf>
    <xf numFmtId="0" fontId="3" fillId="3" borderId="37" xfId="0" applyFont="1" applyFill="1" applyBorder="1" applyAlignment="1" applyProtection="1">
      <alignment horizontal="left" vertical="top" wrapText="1"/>
      <protection locked="0"/>
    </xf>
    <xf numFmtId="0" fontId="3" fillId="3" borderId="12" xfId="0" applyFont="1" applyFill="1" applyBorder="1" applyAlignment="1" applyProtection="1">
      <alignment horizontal="left" vertical="top" wrapText="1"/>
      <protection locked="0"/>
    </xf>
    <xf numFmtId="0" fontId="3" fillId="3" borderId="13" xfId="0" applyFont="1" applyFill="1" applyBorder="1" applyAlignment="1" applyProtection="1">
      <alignment horizontal="left" vertical="top" wrapText="1"/>
      <protection locked="0"/>
    </xf>
    <xf numFmtId="0" fontId="3" fillId="3" borderId="38" xfId="0" applyFont="1" applyFill="1" applyBorder="1" applyAlignment="1" applyProtection="1">
      <alignment horizontal="left" vertical="top" wrapText="1"/>
      <protection locked="0"/>
    </xf>
    <xf numFmtId="0" fontId="3" fillId="0" borderId="40" xfId="0" applyFont="1" applyBorder="1" applyAlignment="1" applyProtection="1">
      <alignment horizontal="left" vertical="top" wrapText="1"/>
      <protection locked="0"/>
    </xf>
    <xf numFmtId="0" fontId="3" fillId="0" borderId="4" xfId="0" applyFont="1" applyBorder="1" applyAlignment="1" applyProtection="1">
      <alignment horizontal="left" vertical="top" wrapText="1"/>
      <protection locked="0"/>
    </xf>
    <xf numFmtId="0" fontId="3" fillId="0" borderId="0"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7"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49" fontId="3" fillId="0" borderId="39" xfId="0" applyNumberFormat="1" applyFont="1" applyBorder="1" applyAlignment="1" applyProtection="1">
      <alignment horizontal="center" vertical="center"/>
      <protection locked="0"/>
    </xf>
    <xf numFmtId="49" fontId="3" fillId="0" borderId="16" xfId="0" applyNumberFormat="1" applyFont="1" applyBorder="1" applyAlignment="1" applyProtection="1">
      <alignment horizontal="center" vertical="center"/>
      <protection locked="0"/>
    </xf>
    <xf numFmtId="0" fontId="3" fillId="0" borderId="21" xfId="0" applyFont="1" applyBorder="1" applyAlignment="1" applyProtection="1">
      <alignment horizontal="center" vertical="center"/>
      <protection hidden="1"/>
    </xf>
    <xf numFmtId="0" fontId="3" fillId="3" borderId="21" xfId="0" applyFont="1" applyFill="1" applyBorder="1" applyAlignment="1" applyProtection="1">
      <alignment horizontal="center" vertical="center"/>
      <protection hidden="1"/>
    </xf>
    <xf numFmtId="0" fontId="3" fillId="6" borderId="4" xfId="0" applyNumberFormat="1" applyFont="1" applyFill="1" applyBorder="1" applyAlignment="1" applyProtection="1">
      <alignment horizontal="left" vertical="top" wrapText="1"/>
      <protection locked="0"/>
    </xf>
    <xf numFmtId="0" fontId="3" fillId="6" borderId="0" xfId="0" applyNumberFormat="1" applyFont="1" applyFill="1" applyBorder="1" applyAlignment="1" applyProtection="1">
      <alignment horizontal="left" vertical="top" wrapText="1"/>
      <protection locked="0"/>
    </xf>
    <xf numFmtId="0" fontId="3" fillId="6" borderId="5" xfId="0" applyNumberFormat="1" applyFont="1" applyFill="1" applyBorder="1" applyAlignment="1" applyProtection="1">
      <alignment horizontal="left" vertical="top" wrapText="1"/>
      <protection locked="0"/>
    </xf>
    <xf numFmtId="0" fontId="3" fillId="5" borderId="39" xfId="0" applyFont="1" applyFill="1" applyBorder="1" applyAlignment="1" applyProtection="1">
      <alignment horizontal="center" vertical="center"/>
      <protection hidden="1"/>
    </xf>
    <xf numFmtId="0" fontId="3" fillId="5" borderId="16" xfId="0" applyFont="1" applyFill="1" applyBorder="1" applyAlignment="1" applyProtection="1">
      <alignment horizontal="center" vertical="center"/>
      <protection hidden="1"/>
    </xf>
    <xf numFmtId="49" fontId="3" fillId="0" borderId="14" xfId="0" applyNumberFormat="1" applyFont="1" applyBorder="1" applyAlignment="1" applyProtection="1">
      <alignment horizontal="center" vertical="center"/>
      <protection locked="0"/>
    </xf>
    <xf numFmtId="49" fontId="3" fillId="0" borderId="12" xfId="0" applyNumberFormat="1" applyFont="1" applyFill="1" applyBorder="1" applyAlignment="1" applyProtection="1">
      <alignment horizontal="center" vertical="center"/>
      <protection locked="0"/>
    </xf>
    <xf numFmtId="49" fontId="3" fillId="0" borderId="13" xfId="0" applyNumberFormat="1" applyFont="1" applyFill="1" applyBorder="1" applyAlignment="1" applyProtection="1">
      <alignment horizontal="center" vertical="center"/>
      <protection locked="0"/>
    </xf>
    <xf numFmtId="49" fontId="3" fillId="0" borderId="47"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locked="0"/>
    </xf>
    <xf numFmtId="49" fontId="3" fillId="0" borderId="16" xfId="0" applyNumberFormat="1" applyFont="1" applyFill="1" applyBorder="1" applyAlignment="1" applyProtection="1">
      <alignment horizontal="center" vertical="center"/>
      <protection locked="0"/>
    </xf>
    <xf numFmtId="49" fontId="3" fillId="3" borderId="15" xfId="0" applyNumberFormat="1" applyFont="1" applyFill="1" applyBorder="1" applyAlignment="1" applyProtection="1">
      <alignment horizontal="center" vertical="center"/>
      <protection locked="0"/>
    </xf>
    <xf numFmtId="49" fontId="3" fillId="3" borderId="16" xfId="0" applyNumberFormat="1" applyFont="1" applyFill="1" applyBorder="1" applyAlignment="1" applyProtection="1">
      <alignment horizontal="center" vertical="center"/>
      <protection locked="0"/>
    </xf>
    <xf numFmtId="49" fontId="3" fillId="3" borderId="15" xfId="0" applyNumberFormat="1" applyFont="1" applyFill="1" applyBorder="1" applyAlignment="1" applyProtection="1">
      <alignment horizontal="left" vertical="center"/>
      <protection locked="0"/>
    </xf>
    <xf numFmtId="49" fontId="3" fillId="3" borderId="22" xfId="0" applyNumberFormat="1" applyFont="1" applyFill="1" applyBorder="1" applyAlignment="1" applyProtection="1">
      <alignment horizontal="left" vertical="center"/>
      <protection locked="0"/>
    </xf>
    <xf numFmtId="49" fontId="3" fillId="3" borderId="16" xfId="0" applyNumberFormat="1" applyFont="1" applyFill="1" applyBorder="1" applyAlignment="1" applyProtection="1">
      <alignment horizontal="left" vertical="center"/>
      <protection locked="0"/>
    </xf>
    <xf numFmtId="49" fontId="3" fillId="3" borderId="14" xfId="0" applyNumberFormat="1" applyFont="1" applyFill="1" applyBorder="1" applyAlignment="1" applyProtection="1">
      <alignment horizontal="center" vertical="center"/>
      <protection locked="0"/>
    </xf>
    <xf numFmtId="49" fontId="3" fillId="0" borderId="46" xfId="0" applyNumberFormat="1" applyFont="1" applyFill="1" applyBorder="1" applyAlignment="1" applyProtection="1">
      <alignment horizontal="center" vertical="center"/>
      <protection locked="0"/>
    </xf>
    <xf numFmtId="49" fontId="3" fillId="0" borderId="27" xfId="0" applyNumberFormat="1" applyFont="1" applyFill="1" applyBorder="1" applyAlignment="1" applyProtection="1">
      <alignment horizontal="center" vertical="center"/>
      <protection locked="0"/>
    </xf>
    <xf numFmtId="49" fontId="3" fillId="0" borderId="35" xfId="0" applyNumberFormat="1" applyFont="1" applyFill="1" applyBorder="1" applyAlignment="1" applyProtection="1">
      <alignment horizontal="center" vertical="center"/>
      <protection locked="0"/>
    </xf>
    <xf numFmtId="180" fontId="3" fillId="0" borderId="26" xfId="0" applyNumberFormat="1" applyFont="1" applyFill="1" applyBorder="1" applyAlignment="1" applyProtection="1">
      <alignment horizontal="center" vertical="center"/>
      <protection locked="0"/>
    </xf>
    <xf numFmtId="180" fontId="3" fillId="0" borderId="35" xfId="0" applyNumberFormat="1" applyFont="1" applyFill="1" applyBorder="1" applyAlignment="1" applyProtection="1">
      <alignment horizontal="center" vertical="center"/>
      <protection locked="0"/>
    </xf>
    <xf numFmtId="0" fontId="11" fillId="2" borderId="1" xfId="0" applyFont="1" applyFill="1" applyBorder="1" applyAlignment="1" applyProtection="1">
      <alignment horizontal="center" vertical="center"/>
      <protection hidden="1"/>
    </xf>
    <xf numFmtId="0" fontId="11" fillId="2" borderId="2" xfId="0" applyFont="1" applyFill="1" applyBorder="1" applyAlignment="1" applyProtection="1">
      <alignment horizontal="center" vertical="center"/>
      <protection hidden="1"/>
    </xf>
    <xf numFmtId="0" fontId="11" fillId="2" borderId="3" xfId="0" applyFont="1" applyFill="1" applyBorder="1" applyAlignment="1" applyProtection="1">
      <alignment horizontal="center" vertical="center"/>
      <protection hidden="1"/>
    </xf>
    <xf numFmtId="0" fontId="3" fillId="3" borderId="4" xfId="0" applyNumberFormat="1" applyFont="1" applyFill="1" applyBorder="1" applyAlignment="1" applyProtection="1">
      <alignment horizontal="left" vertical="top" wrapText="1"/>
      <protection locked="0"/>
    </xf>
    <xf numFmtId="0" fontId="3" fillId="3" borderId="0" xfId="0" applyNumberFormat="1" applyFont="1" applyFill="1" applyBorder="1" applyAlignment="1" applyProtection="1">
      <alignment horizontal="left" vertical="top" wrapText="1"/>
      <protection locked="0"/>
    </xf>
    <xf numFmtId="0" fontId="3" fillId="3" borderId="5" xfId="0" applyNumberFormat="1" applyFont="1" applyFill="1" applyBorder="1" applyAlignment="1" applyProtection="1">
      <alignment horizontal="left" vertical="top" wrapText="1"/>
      <protection locked="0"/>
    </xf>
    <xf numFmtId="49" fontId="3" fillId="0" borderId="33" xfId="0" applyNumberFormat="1" applyFont="1" applyFill="1" applyBorder="1" applyAlignment="1" applyProtection="1">
      <alignment horizontal="center" vertical="center"/>
      <protection locked="0"/>
    </xf>
    <xf numFmtId="49" fontId="3" fillId="0" borderId="7" xfId="0" applyNumberFormat="1" applyFont="1" applyFill="1" applyBorder="1" applyAlignment="1" applyProtection="1">
      <alignment horizontal="center" vertical="center"/>
      <protection locked="0"/>
    </xf>
    <xf numFmtId="49" fontId="3" fillId="0" borderId="34" xfId="0" applyNumberFormat="1" applyFont="1" applyFill="1" applyBorder="1" applyAlignment="1" applyProtection="1">
      <alignment horizontal="center" vertical="center"/>
      <protection locked="0"/>
    </xf>
    <xf numFmtId="49" fontId="3" fillId="0" borderId="26" xfId="0" applyNumberFormat="1" applyFont="1" applyFill="1" applyBorder="1" applyAlignment="1" applyProtection="1">
      <alignment horizontal="center" vertical="center"/>
      <protection locked="0"/>
    </xf>
    <xf numFmtId="49" fontId="3" fillId="0" borderId="28"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hidden="1"/>
    </xf>
    <xf numFmtId="49" fontId="3" fillId="0" borderId="16" xfId="0" applyNumberFormat="1" applyFont="1" applyFill="1" applyBorder="1" applyAlignment="1" applyProtection="1">
      <alignment horizontal="center" vertical="center"/>
      <protection hidden="1"/>
    </xf>
    <xf numFmtId="0" fontId="3" fillId="6" borderId="40" xfId="0" applyFont="1" applyFill="1" applyBorder="1" applyAlignment="1" applyProtection="1">
      <alignment horizontal="left" vertical="top"/>
      <protection locked="0"/>
    </xf>
    <xf numFmtId="0" fontId="3" fillId="6" borderId="11" xfId="0" applyFont="1" applyFill="1" applyBorder="1" applyAlignment="1" applyProtection="1">
      <alignment horizontal="left" vertical="top"/>
      <protection locked="0"/>
    </xf>
    <xf numFmtId="0" fontId="3" fillId="6" borderId="37" xfId="0" applyFont="1" applyFill="1" applyBorder="1" applyAlignment="1" applyProtection="1">
      <alignment horizontal="left" vertical="top"/>
      <protection locked="0"/>
    </xf>
    <xf numFmtId="0" fontId="3" fillId="6" borderId="4" xfId="0" applyFont="1" applyFill="1" applyBorder="1" applyAlignment="1" applyProtection="1">
      <alignment horizontal="left" vertical="top"/>
      <protection locked="0"/>
    </xf>
    <xf numFmtId="0" fontId="3" fillId="6" borderId="0" xfId="0" applyFont="1" applyFill="1" applyBorder="1" applyAlignment="1" applyProtection="1">
      <alignment horizontal="left" vertical="top"/>
      <protection locked="0"/>
    </xf>
    <xf numFmtId="0" fontId="3" fillId="6" borderId="5" xfId="0" applyFont="1" applyFill="1" applyBorder="1" applyAlignment="1" applyProtection="1">
      <alignment horizontal="left" vertical="top"/>
      <protection locked="0"/>
    </xf>
    <xf numFmtId="0" fontId="3" fillId="6" borderId="6" xfId="0" applyFont="1" applyFill="1" applyBorder="1" applyAlignment="1" applyProtection="1">
      <alignment horizontal="left" vertical="top"/>
      <protection locked="0"/>
    </xf>
    <xf numFmtId="0" fontId="3" fillId="6" borderId="7" xfId="0" applyFont="1" applyFill="1" applyBorder="1" applyAlignment="1" applyProtection="1">
      <alignment horizontal="left" vertical="top"/>
      <protection locked="0"/>
    </xf>
    <xf numFmtId="0" fontId="3" fillId="6" borderId="8" xfId="0" applyFont="1" applyFill="1" applyBorder="1" applyAlignment="1" applyProtection="1">
      <alignment horizontal="left" vertical="top"/>
      <protection locked="0"/>
    </xf>
    <xf numFmtId="0" fontId="3" fillId="3" borderId="21" xfId="0" applyFont="1" applyFill="1" applyBorder="1" applyAlignment="1" applyProtection="1">
      <alignment horizontal="left" vertical="center"/>
      <protection hidden="1"/>
    </xf>
    <xf numFmtId="0" fontId="3" fillId="3" borderId="14" xfId="0" applyFont="1" applyFill="1" applyBorder="1" applyAlignment="1" applyProtection="1">
      <alignment horizontal="left" vertical="center"/>
      <protection hidden="1"/>
    </xf>
    <xf numFmtId="0" fontId="3" fillId="3" borderId="15" xfId="0" applyFont="1" applyFill="1" applyBorder="1" applyAlignment="1" applyProtection="1">
      <alignment horizontal="left" vertical="center"/>
      <protection hidden="1"/>
    </xf>
    <xf numFmtId="49" fontId="3" fillId="3" borderId="39"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locked="0"/>
    </xf>
    <xf numFmtId="180" fontId="3" fillId="3" borderId="16"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hidden="1"/>
    </xf>
    <xf numFmtId="180" fontId="3" fillId="3" borderId="16" xfId="0" applyNumberFormat="1" applyFont="1" applyFill="1" applyBorder="1" applyAlignment="1" applyProtection="1">
      <alignment horizontal="center" vertical="center"/>
      <protection hidden="1"/>
    </xf>
    <xf numFmtId="180" fontId="3" fillId="0" borderId="26" xfId="0" applyNumberFormat="1" applyFont="1" applyFill="1" applyBorder="1" applyAlignment="1" applyProtection="1">
      <alignment horizontal="center" vertical="center"/>
      <protection hidden="1"/>
    </xf>
    <xf numFmtId="180" fontId="3" fillId="0" borderId="35" xfId="0" applyNumberFormat="1"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hidden="1"/>
    </xf>
    <xf numFmtId="180" fontId="3" fillId="0" borderId="16" xfId="0" applyNumberFormat="1" applyFont="1" applyFill="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locked="0"/>
    </xf>
    <xf numFmtId="0" fontId="3" fillId="3" borderId="56" xfId="0" applyNumberFormat="1" applyFont="1" applyFill="1" applyBorder="1" applyAlignment="1" applyProtection="1">
      <alignment horizontal="center" vertical="center"/>
      <protection hidden="1"/>
    </xf>
    <xf numFmtId="0" fontId="3" fillId="0" borderId="14" xfId="0" applyFont="1" applyBorder="1" applyAlignment="1" applyProtection="1">
      <alignment horizontal="left" vertical="center" indent="1"/>
      <protection locked="0"/>
    </xf>
    <xf numFmtId="0" fontId="3" fillId="0" borderId="15" xfId="0" applyFont="1" applyBorder="1" applyAlignment="1" applyProtection="1">
      <alignment horizontal="left" vertical="center" indent="1"/>
      <protection locked="0"/>
    </xf>
    <xf numFmtId="0" fontId="3" fillId="0" borderId="22" xfId="0" applyFont="1" applyBorder="1" applyAlignment="1" applyProtection="1">
      <alignment horizontal="left" vertical="center" indent="1"/>
      <protection locked="0"/>
    </xf>
    <xf numFmtId="0" fontId="3" fillId="3" borderId="26" xfId="0" applyFont="1" applyFill="1" applyBorder="1" applyAlignment="1" applyProtection="1">
      <alignment horizontal="left" vertical="center" indent="1"/>
      <protection locked="0"/>
    </xf>
    <xf numFmtId="0" fontId="3" fillId="3" borderId="27" xfId="0" applyFont="1" applyFill="1" applyBorder="1" applyAlignment="1" applyProtection="1">
      <alignment horizontal="left" vertical="center" indent="1"/>
      <protection locked="0"/>
    </xf>
    <xf numFmtId="0" fontId="3" fillId="3" borderId="28" xfId="0" applyFont="1" applyFill="1" applyBorder="1" applyAlignment="1" applyProtection="1">
      <alignment horizontal="left" vertical="center" indent="1"/>
      <protection locked="0"/>
    </xf>
    <xf numFmtId="0" fontId="33" fillId="3" borderId="1" xfId="0" applyFont="1" applyFill="1" applyBorder="1" applyAlignment="1" applyProtection="1">
      <alignment horizontal="center" vertical="center" wrapText="1"/>
      <protection locked="0" hidden="1"/>
    </xf>
    <xf numFmtId="0" fontId="33" fillId="3" borderId="2" xfId="0" applyFont="1" applyFill="1" applyBorder="1" applyAlignment="1" applyProtection="1">
      <alignment horizontal="center" vertical="center"/>
      <protection locked="0" hidden="1"/>
    </xf>
    <xf numFmtId="0" fontId="33" fillId="3" borderId="3" xfId="0" applyFont="1" applyFill="1" applyBorder="1" applyAlignment="1" applyProtection="1">
      <alignment horizontal="center" vertical="center"/>
      <protection locked="0" hidden="1"/>
    </xf>
    <xf numFmtId="0" fontId="33" fillId="3" borderId="4" xfId="0" applyFont="1" applyFill="1" applyBorder="1" applyAlignment="1" applyProtection="1">
      <alignment horizontal="center" vertical="center"/>
      <protection locked="0" hidden="1"/>
    </xf>
    <xf numFmtId="0" fontId="33" fillId="3" borderId="0" xfId="0" applyFont="1" applyFill="1" applyBorder="1" applyAlignment="1" applyProtection="1">
      <alignment horizontal="center" vertical="center"/>
      <protection locked="0" hidden="1"/>
    </xf>
    <xf numFmtId="0" fontId="33" fillId="3" borderId="5" xfId="0" applyFont="1" applyFill="1" applyBorder="1" applyAlignment="1" applyProtection="1">
      <alignment horizontal="center" vertical="center"/>
      <protection locked="0" hidden="1"/>
    </xf>
    <xf numFmtId="0" fontId="33" fillId="3" borderId="6" xfId="0" applyFont="1" applyFill="1" applyBorder="1" applyAlignment="1" applyProtection="1">
      <alignment horizontal="center" vertical="center"/>
      <protection locked="0" hidden="1"/>
    </xf>
    <xf numFmtId="0" fontId="33" fillId="3" borderId="7" xfId="0" applyFont="1" applyFill="1" applyBorder="1" applyAlignment="1" applyProtection="1">
      <alignment horizontal="center" vertical="center"/>
      <protection locked="0" hidden="1"/>
    </xf>
    <xf numFmtId="0" fontId="33" fillId="3" borderId="8" xfId="0" applyFont="1" applyFill="1" applyBorder="1" applyAlignment="1" applyProtection="1">
      <alignment horizontal="center" vertical="center"/>
      <protection locked="0" hidden="1"/>
    </xf>
    <xf numFmtId="0" fontId="3" fillId="5" borderId="10" xfId="0" applyFont="1" applyFill="1" applyBorder="1" applyAlignment="1" applyProtection="1">
      <alignment horizontal="center" vertical="center"/>
      <protection hidden="1"/>
    </xf>
    <xf numFmtId="0" fontId="3" fillId="5" borderId="11" xfId="0" applyFont="1" applyFill="1" applyBorder="1" applyAlignment="1" applyProtection="1">
      <alignment horizontal="center" vertical="center"/>
      <protection hidden="1"/>
    </xf>
    <xf numFmtId="0" fontId="3" fillId="5" borderId="45" xfId="0" applyFont="1" applyFill="1" applyBorder="1" applyAlignment="1" applyProtection="1">
      <alignment horizontal="center" vertical="center"/>
      <protection hidden="1"/>
    </xf>
    <xf numFmtId="0" fontId="3" fillId="3" borderId="23" xfId="0" applyNumberFormat="1" applyFont="1" applyFill="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locked="0"/>
    </xf>
    <xf numFmtId="176" fontId="3" fillId="0" borderId="9" xfId="0" applyNumberFormat="1" applyFont="1" applyBorder="1" applyAlignment="1" applyProtection="1">
      <alignment horizontal="center" vertical="center"/>
      <protection locked="0"/>
    </xf>
    <xf numFmtId="0" fontId="3" fillId="4" borderId="9" xfId="0" applyNumberFormat="1" applyFont="1" applyFill="1" applyBorder="1" applyAlignment="1" applyProtection="1">
      <alignment horizontal="center" vertical="center"/>
      <protection hidden="1"/>
    </xf>
    <xf numFmtId="0" fontId="3" fillId="4" borderId="56" xfId="0" applyNumberFormat="1" applyFont="1" applyFill="1" applyBorder="1" applyAlignment="1" applyProtection="1">
      <alignment horizontal="center" vertical="center"/>
      <protection hidden="1"/>
    </xf>
    <xf numFmtId="0" fontId="3" fillId="0" borderId="56" xfId="0" applyNumberFormat="1" applyFont="1" applyBorder="1" applyAlignment="1" applyProtection="1">
      <alignment horizontal="center" vertical="center"/>
      <protection hidden="1"/>
    </xf>
    <xf numFmtId="0" fontId="3" fillId="0" borderId="2" xfId="0" applyFont="1" applyBorder="1" applyAlignment="1" applyProtection="1">
      <alignment horizontal="center" vertical="center" wrapText="1"/>
      <protection hidden="1"/>
    </xf>
    <xf numFmtId="0" fontId="3" fillId="0" borderId="2" xfId="0" applyFont="1" applyBorder="1" applyAlignment="1" applyProtection="1">
      <alignment horizontal="center" vertical="center"/>
      <protection hidden="1"/>
    </xf>
    <xf numFmtId="0" fontId="3" fillId="0" borderId="50" xfId="0" applyFont="1" applyBorder="1" applyAlignment="1" applyProtection="1">
      <alignment horizontal="center" vertical="center"/>
      <protection hidden="1"/>
    </xf>
    <xf numFmtId="0" fontId="3" fillId="0" borderId="0" xfId="0" applyFont="1" applyBorder="1" applyAlignment="1" applyProtection="1">
      <alignment horizontal="center" vertical="center"/>
      <protection hidden="1"/>
    </xf>
    <xf numFmtId="0" fontId="3" fillId="0" borderId="49" xfId="0" applyFont="1" applyBorder="1" applyAlignment="1" applyProtection="1">
      <alignment horizontal="center" vertical="center"/>
      <protection hidden="1"/>
    </xf>
    <xf numFmtId="0" fontId="22" fillId="3" borderId="2" xfId="0" applyFont="1" applyFill="1" applyBorder="1" applyAlignment="1" applyProtection="1">
      <alignment horizontal="right" vertical="center"/>
      <protection locked="0"/>
    </xf>
    <xf numFmtId="0" fontId="22" fillId="3" borderId="13" xfId="0" applyFont="1" applyFill="1" applyBorder="1" applyAlignment="1" applyProtection="1">
      <alignment horizontal="right" vertical="center"/>
      <protection locked="0"/>
    </xf>
    <xf numFmtId="179" fontId="22" fillId="3" borderId="2" xfId="0" applyNumberFormat="1" applyFont="1" applyFill="1" applyBorder="1" applyAlignment="1" applyProtection="1">
      <alignment horizontal="left" vertical="center"/>
      <protection hidden="1"/>
    </xf>
    <xf numFmtId="179" fontId="22" fillId="3" borderId="51" xfId="0" applyNumberFormat="1" applyFont="1" applyFill="1" applyBorder="1" applyAlignment="1" applyProtection="1">
      <alignment horizontal="left" vertical="center"/>
      <protection hidden="1"/>
    </xf>
    <xf numFmtId="179" fontId="22" fillId="3" borderId="13" xfId="0" applyNumberFormat="1" applyFont="1" applyFill="1" applyBorder="1" applyAlignment="1" applyProtection="1">
      <alignment horizontal="left" vertical="center"/>
      <protection hidden="1"/>
    </xf>
    <xf numFmtId="179" fontId="22" fillId="3" borderId="52" xfId="0" applyNumberFormat="1" applyFont="1" applyFill="1" applyBorder="1" applyAlignment="1" applyProtection="1">
      <alignment horizontal="left" vertical="center"/>
      <protection hidden="1"/>
    </xf>
    <xf numFmtId="0" fontId="22" fillId="3" borderId="0" xfId="0" applyFont="1" applyFill="1" applyBorder="1" applyAlignment="1" applyProtection="1">
      <alignment horizontal="right" vertical="center"/>
      <protection locked="0"/>
    </xf>
    <xf numFmtId="0" fontId="22" fillId="3" borderId="7" xfId="0" applyFont="1" applyFill="1" applyBorder="1" applyAlignment="1" applyProtection="1">
      <alignment horizontal="right" vertical="center"/>
      <protection locked="0"/>
    </xf>
    <xf numFmtId="179" fontId="22" fillId="3" borderId="0" xfId="0" applyNumberFormat="1" applyFont="1" applyFill="1" applyBorder="1" applyAlignment="1" applyProtection="1">
      <alignment horizontal="left" vertical="center"/>
      <protection hidden="1"/>
    </xf>
    <xf numFmtId="179" fontId="22" fillId="3" borderId="54" xfId="0" applyNumberFormat="1" applyFont="1" applyFill="1" applyBorder="1" applyAlignment="1" applyProtection="1">
      <alignment horizontal="left" vertical="center"/>
      <protection hidden="1"/>
    </xf>
    <xf numFmtId="179" fontId="22" fillId="3" borderId="7" xfId="0" applyNumberFormat="1" applyFont="1" applyFill="1" applyBorder="1" applyAlignment="1" applyProtection="1">
      <alignment horizontal="left" vertical="center"/>
      <protection hidden="1"/>
    </xf>
    <xf numFmtId="179" fontId="22" fillId="3" borderId="53" xfId="0" applyNumberFormat="1" applyFont="1" applyFill="1" applyBorder="1" applyAlignment="1" applyProtection="1">
      <alignment horizontal="left" vertical="center"/>
      <protection hidden="1"/>
    </xf>
    <xf numFmtId="0" fontId="22" fillId="0" borderId="2" xfId="0" applyFont="1" applyBorder="1" applyAlignment="1" applyProtection="1">
      <alignment horizontal="right" vertical="center"/>
      <protection locked="0"/>
    </xf>
    <xf numFmtId="0" fontId="22" fillId="0" borderId="0" xfId="0" applyFont="1" applyBorder="1" applyAlignment="1" applyProtection="1">
      <alignment horizontal="right" vertical="center"/>
      <protection locked="0"/>
    </xf>
    <xf numFmtId="0" fontId="22" fillId="0" borderId="7" xfId="0" applyFont="1" applyBorder="1" applyAlignment="1" applyProtection="1">
      <alignment horizontal="right" vertical="center"/>
      <protection locked="0"/>
    </xf>
    <xf numFmtId="179" fontId="22" fillId="0" borderId="2" xfId="0" applyNumberFormat="1" applyFont="1" applyBorder="1" applyAlignment="1" applyProtection="1">
      <alignment horizontal="left" vertical="center"/>
      <protection hidden="1"/>
    </xf>
    <xf numFmtId="179" fontId="22" fillId="0" borderId="3" xfId="0" applyNumberFormat="1" applyFont="1" applyBorder="1" applyAlignment="1" applyProtection="1">
      <alignment horizontal="left" vertical="center"/>
      <protection hidden="1"/>
    </xf>
    <xf numFmtId="179" fontId="22" fillId="0" borderId="0" xfId="0" applyNumberFormat="1" applyFont="1" applyBorder="1" applyAlignment="1" applyProtection="1">
      <alignment horizontal="left" vertical="center"/>
      <protection hidden="1"/>
    </xf>
    <xf numFmtId="179" fontId="22" fillId="0" borderId="5" xfId="0" applyNumberFormat="1" applyFont="1" applyBorder="1" applyAlignment="1" applyProtection="1">
      <alignment horizontal="left" vertical="center"/>
      <protection hidden="1"/>
    </xf>
    <xf numFmtId="179" fontId="22" fillId="0" borderId="7" xfId="0" applyNumberFormat="1" applyFont="1" applyBorder="1" applyAlignment="1" applyProtection="1">
      <alignment horizontal="left" vertical="center"/>
      <protection hidden="1"/>
    </xf>
    <xf numFmtId="179" fontId="22" fillId="0" borderId="8" xfId="0" applyNumberFormat="1" applyFont="1" applyBorder="1" applyAlignment="1" applyProtection="1">
      <alignment horizontal="left" vertical="center"/>
      <protection hidden="1"/>
    </xf>
    <xf numFmtId="0" fontId="3" fillId="3" borderId="50" xfId="0" applyFont="1" applyFill="1" applyBorder="1" applyAlignment="1" applyProtection="1">
      <alignment horizontal="center" vertical="center"/>
      <protection hidden="1"/>
    </xf>
    <xf numFmtId="0" fontId="3" fillId="3" borderId="0" xfId="0" applyFont="1" applyFill="1" applyBorder="1" applyAlignment="1" applyProtection="1">
      <alignment horizontal="center" vertical="center"/>
      <protection hidden="1"/>
    </xf>
    <xf numFmtId="0" fontId="3" fillId="3" borderId="49" xfId="0" applyFont="1" applyFill="1" applyBorder="1" applyAlignment="1" applyProtection="1">
      <alignment horizontal="center" vertical="center"/>
      <protection hidden="1"/>
    </xf>
    <xf numFmtId="0" fontId="11" fillId="2" borderId="29" xfId="0" applyNumberFormat="1" applyFont="1" applyFill="1" applyBorder="1" applyAlignment="1" applyProtection="1">
      <alignment horizontal="center" vertical="center"/>
      <protection hidden="1"/>
    </xf>
    <xf numFmtId="0" fontId="11" fillId="2" borderId="30" xfId="0" applyNumberFormat="1" applyFont="1" applyFill="1" applyBorder="1" applyAlignment="1" applyProtection="1">
      <alignment horizontal="center" vertical="center"/>
      <protection hidden="1"/>
    </xf>
    <xf numFmtId="0" fontId="11" fillId="2" borderId="31" xfId="0" applyNumberFormat="1" applyFont="1" applyFill="1" applyBorder="1" applyAlignment="1" applyProtection="1">
      <alignment horizontal="center" vertical="center"/>
      <protection hidden="1"/>
    </xf>
    <xf numFmtId="0" fontId="3" fillId="0" borderId="14" xfId="0" applyNumberFormat="1" applyFont="1" applyBorder="1" applyAlignment="1" applyProtection="1">
      <alignment horizontal="left" vertical="center" indent="1"/>
      <protection locked="0"/>
    </xf>
    <xf numFmtId="0" fontId="3" fillId="0" borderId="15" xfId="0" applyNumberFormat="1" applyFont="1" applyBorder="1" applyAlignment="1" applyProtection="1">
      <alignment horizontal="left" vertical="center" indent="1"/>
      <protection locked="0"/>
    </xf>
    <xf numFmtId="0" fontId="3" fillId="0" borderId="22" xfId="0" applyNumberFormat="1" applyFont="1" applyBorder="1" applyAlignment="1" applyProtection="1">
      <alignment horizontal="left" vertical="center" indent="1"/>
      <protection locked="0"/>
    </xf>
    <xf numFmtId="0" fontId="3" fillId="3" borderId="53" xfId="0" applyFont="1" applyFill="1" applyBorder="1" applyAlignment="1" applyProtection="1">
      <alignment horizontal="left" vertical="center"/>
      <protection hidden="1"/>
    </xf>
    <xf numFmtId="0" fontId="3" fillId="0" borderId="7" xfId="0" applyFont="1" applyBorder="1" applyAlignment="1" applyProtection="1">
      <alignment horizontal="left" vertical="center"/>
      <protection hidden="1"/>
    </xf>
    <xf numFmtId="0" fontId="3" fillId="0" borderId="53" xfId="0" applyFont="1" applyBorder="1" applyAlignment="1" applyProtection="1">
      <alignment horizontal="left" vertical="center"/>
      <protection hidden="1"/>
    </xf>
    <xf numFmtId="1" fontId="22" fillId="0" borderId="2" xfId="0" applyNumberFormat="1" applyFont="1" applyBorder="1" applyAlignment="1" applyProtection="1">
      <alignment horizontal="right" vertical="center"/>
      <protection locked="0"/>
    </xf>
    <xf numFmtId="0" fontId="22" fillId="0" borderId="13" xfId="0" applyFont="1" applyBorder="1" applyAlignment="1" applyProtection="1">
      <alignment horizontal="right" vertical="center"/>
      <protection locked="0"/>
    </xf>
    <xf numFmtId="179" fontId="22" fillId="0" borderId="51" xfId="0" applyNumberFormat="1" applyFont="1" applyBorder="1" applyAlignment="1" applyProtection="1">
      <alignment horizontal="left" vertical="center"/>
      <protection hidden="1"/>
    </xf>
    <xf numFmtId="179" fontId="22" fillId="0" borderId="13" xfId="0" applyNumberFormat="1" applyFont="1" applyBorder="1" applyAlignment="1" applyProtection="1">
      <alignment horizontal="left" vertical="center"/>
      <protection hidden="1"/>
    </xf>
    <xf numFmtId="179" fontId="22" fillId="0" borderId="52" xfId="0" applyNumberFormat="1" applyFont="1" applyBorder="1" applyAlignment="1" applyProtection="1">
      <alignment horizontal="left" vertical="center"/>
      <protection hidden="1"/>
    </xf>
    <xf numFmtId="0" fontId="3" fillId="3" borderId="4" xfId="0" applyFont="1" applyFill="1" applyBorder="1" applyAlignment="1" applyProtection="1">
      <alignment horizontal="center" vertical="center"/>
      <protection hidden="1"/>
    </xf>
    <xf numFmtId="0" fontId="3" fillId="3" borderId="10" xfId="0" applyFont="1" applyFill="1" applyBorder="1" applyAlignment="1" applyProtection="1">
      <alignment horizontal="center" vertical="center"/>
      <protection locked="0"/>
    </xf>
    <xf numFmtId="0" fontId="3" fillId="3" borderId="45" xfId="0" applyFont="1" applyFill="1" applyBorder="1" applyAlignment="1" applyProtection="1">
      <alignment horizontal="center" vertical="center"/>
      <protection locked="0"/>
    </xf>
    <xf numFmtId="0" fontId="3" fillId="3" borderId="12" xfId="0" applyFont="1" applyFill="1" applyBorder="1" applyAlignment="1" applyProtection="1">
      <alignment horizontal="center" vertical="center"/>
      <protection locked="0"/>
    </xf>
    <xf numFmtId="0" fontId="3" fillId="3" borderId="47"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176" fontId="3" fillId="3" borderId="9" xfId="0" applyNumberFormat="1" applyFont="1" applyFill="1" applyBorder="1" applyAlignment="1" applyProtection="1">
      <alignment horizontal="center" vertical="center"/>
      <protection hidden="1"/>
    </xf>
    <xf numFmtId="176" fontId="3" fillId="3" borderId="25" xfId="0" applyNumberFormat="1" applyFont="1" applyFill="1" applyBorder="1" applyAlignment="1" applyProtection="1">
      <alignment horizontal="center" vertical="center"/>
      <protection hidden="1"/>
    </xf>
    <xf numFmtId="178" fontId="12" fillId="3" borderId="10" xfId="0" applyNumberFormat="1" applyFont="1" applyFill="1" applyBorder="1" applyAlignment="1" applyProtection="1">
      <alignment horizontal="center" vertical="center"/>
      <protection hidden="1"/>
    </xf>
    <xf numFmtId="178" fontId="12" fillId="3" borderId="37" xfId="0" applyNumberFormat="1" applyFont="1" applyFill="1" applyBorder="1" applyAlignment="1" applyProtection="1">
      <alignment horizontal="center" vertical="center"/>
      <protection hidden="1"/>
    </xf>
    <xf numFmtId="178" fontId="3" fillId="3" borderId="33" xfId="0" applyNumberFormat="1" applyFont="1" applyFill="1" applyBorder="1" applyAlignment="1" applyProtection="1">
      <alignment horizontal="center" vertical="center"/>
      <protection locked="0" hidden="1"/>
    </xf>
    <xf numFmtId="178" fontId="3" fillId="3" borderId="8" xfId="0" applyNumberFormat="1" applyFont="1" applyFill="1" applyBorder="1" applyAlignment="1" applyProtection="1">
      <alignment horizontal="center" vertical="center"/>
      <protection locked="0" hidden="1"/>
    </xf>
    <xf numFmtId="49" fontId="3" fillId="0" borderId="40" xfId="0" applyNumberFormat="1" applyFont="1" applyFill="1" applyBorder="1" applyAlignment="1" applyProtection="1">
      <alignment horizontal="left" vertical="top" wrapText="1"/>
      <protection locked="0"/>
    </xf>
    <xf numFmtId="49" fontId="3" fillId="0" borderId="11" xfId="0" applyNumberFormat="1" applyFont="1" applyFill="1" applyBorder="1" applyAlignment="1" applyProtection="1">
      <alignment horizontal="left" vertical="top" wrapText="1"/>
      <protection locked="0"/>
    </xf>
    <xf numFmtId="49" fontId="3" fillId="0" borderId="37" xfId="0" applyNumberFormat="1" applyFont="1" applyFill="1" applyBorder="1" applyAlignment="1" applyProtection="1">
      <alignment horizontal="left" vertical="top" wrapText="1"/>
      <protection locked="0"/>
    </xf>
    <xf numFmtId="49" fontId="3" fillId="0" borderId="41" xfId="0" applyNumberFormat="1" applyFont="1" applyFill="1" applyBorder="1" applyAlignment="1" applyProtection="1">
      <alignment horizontal="left" vertical="top" wrapText="1"/>
      <protection locked="0"/>
    </xf>
    <xf numFmtId="49" fontId="3" fillId="0" borderId="13" xfId="0" applyNumberFormat="1" applyFont="1" applyFill="1" applyBorder="1" applyAlignment="1" applyProtection="1">
      <alignment horizontal="left" vertical="top" wrapText="1"/>
      <protection locked="0"/>
    </xf>
    <xf numFmtId="49" fontId="3" fillId="0" borderId="38" xfId="0" applyNumberFormat="1" applyFont="1" applyFill="1" applyBorder="1" applyAlignment="1" applyProtection="1">
      <alignment horizontal="left" vertical="top" wrapText="1"/>
      <protection locked="0"/>
    </xf>
    <xf numFmtId="49" fontId="3" fillId="3" borderId="40" xfId="0" applyNumberFormat="1" applyFont="1" applyFill="1" applyBorder="1" applyAlignment="1" applyProtection="1">
      <alignment horizontal="left" vertical="top" wrapText="1"/>
      <protection locked="0"/>
    </xf>
    <xf numFmtId="49" fontId="3" fillId="3" borderId="11" xfId="0" applyNumberFormat="1" applyFont="1" applyFill="1" applyBorder="1" applyAlignment="1" applyProtection="1">
      <alignment horizontal="left" vertical="top" wrapText="1"/>
      <protection locked="0"/>
    </xf>
    <xf numFmtId="49" fontId="3" fillId="3" borderId="37" xfId="0" applyNumberFormat="1" applyFont="1" applyFill="1" applyBorder="1" applyAlignment="1" applyProtection="1">
      <alignment horizontal="left" vertical="top" wrapText="1"/>
      <protection locked="0"/>
    </xf>
    <xf numFmtId="49" fontId="3" fillId="3" borderId="41" xfId="0" applyNumberFormat="1" applyFont="1" applyFill="1" applyBorder="1" applyAlignment="1" applyProtection="1">
      <alignment horizontal="left" vertical="top" wrapText="1"/>
      <protection locked="0"/>
    </xf>
    <xf numFmtId="49" fontId="3" fillId="3" borderId="13" xfId="0" applyNumberFormat="1" applyFont="1" applyFill="1" applyBorder="1" applyAlignment="1" applyProtection="1">
      <alignment horizontal="left" vertical="top" wrapText="1"/>
      <protection locked="0"/>
    </xf>
    <xf numFmtId="49" fontId="3" fillId="3" borderId="38" xfId="0" applyNumberFormat="1" applyFont="1" applyFill="1" applyBorder="1" applyAlignment="1" applyProtection="1">
      <alignment horizontal="left" vertical="top" wrapText="1"/>
      <protection locked="0"/>
    </xf>
    <xf numFmtId="49" fontId="3" fillId="0" borderId="39" xfId="0" applyNumberFormat="1" applyFont="1" applyFill="1" applyBorder="1" applyAlignment="1" applyProtection="1">
      <alignment horizontal="center" vertical="center"/>
      <protection locked="0"/>
    </xf>
    <xf numFmtId="49" fontId="3" fillId="0" borderId="12" xfId="0" applyNumberFormat="1" applyFont="1" applyFill="1" applyBorder="1" applyAlignment="1" applyProtection="1">
      <alignment horizontal="center" vertical="center"/>
      <protection hidden="1"/>
    </xf>
    <xf numFmtId="49" fontId="3" fillId="0" borderId="13" xfId="0" applyNumberFormat="1" applyFont="1" applyFill="1" applyBorder="1" applyAlignment="1" applyProtection="1">
      <alignment horizontal="center" vertical="center"/>
      <protection hidden="1"/>
    </xf>
    <xf numFmtId="49" fontId="3" fillId="0" borderId="47" xfId="0" applyNumberFormat="1"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locked="0"/>
    </xf>
    <xf numFmtId="180" fontId="3" fillId="0" borderId="16" xfId="0" applyNumberFormat="1" applyFont="1" applyFill="1" applyBorder="1" applyAlignment="1" applyProtection="1">
      <alignment horizontal="center" vertical="center"/>
      <protection locked="0"/>
    </xf>
    <xf numFmtId="0" fontId="3" fillId="0" borderId="23" xfId="0" applyFont="1" applyBorder="1" applyAlignment="1" applyProtection="1">
      <alignment horizontal="center" vertical="center"/>
      <protection hidden="1"/>
    </xf>
    <xf numFmtId="0" fontId="3" fillId="0" borderId="23" xfId="0" applyFont="1" applyBorder="1" applyAlignment="1" applyProtection="1">
      <alignment horizontal="center" vertical="center" wrapText="1"/>
      <protection hidden="1"/>
    </xf>
    <xf numFmtId="0" fontId="3" fillId="0" borderId="9" xfId="0" quotePrefix="1" applyFont="1" applyBorder="1" applyAlignment="1" applyProtection="1">
      <alignment horizontal="center" vertical="center"/>
      <protection hidden="1"/>
    </xf>
    <xf numFmtId="0" fontId="3" fillId="0" borderId="23" xfId="0" applyNumberFormat="1" applyFont="1" applyBorder="1" applyAlignment="1" applyProtection="1">
      <alignment horizontal="center" vertical="center"/>
      <protection hidden="1"/>
    </xf>
    <xf numFmtId="0" fontId="3" fillId="0" borderId="33" xfId="0" applyFont="1" applyBorder="1" applyAlignment="1" applyProtection="1">
      <alignment horizontal="center" vertical="center"/>
      <protection locked="0"/>
    </xf>
    <xf numFmtId="0" fontId="3" fillId="0" borderId="34" xfId="0" applyFont="1" applyBorder="1" applyAlignment="1" applyProtection="1">
      <alignment horizontal="center" vertical="center"/>
      <protection locked="0"/>
    </xf>
    <xf numFmtId="0" fontId="3" fillId="3" borderId="33" xfId="0" applyFont="1" applyFill="1" applyBorder="1" applyAlignment="1" applyProtection="1">
      <alignment horizontal="center" vertical="center"/>
      <protection locked="0"/>
    </xf>
    <xf numFmtId="0" fontId="3" fillId="3" borderId="34" xfId="0" applyFont="1" applyFill="1" applyBorder="1" applyAlignment="1" applyProtection="1">
      <alignment horizontal="center" vertical="center"/>
      <protection locked="0"/>
    </xf>
    <xf numFmtId="0" fontId="3" fillId="3" borderId="15" xfId="0" applyFont="1" applyFill="1" applyBorder="1" applyAlignment="1" applyProtection="1">
      <alignment horizontal="left" vertical="center" indent="1"/>
      <protection locked="0"/>
    </xf>
    <xf numFmtId="0" fontId="3" fillId="3" borderId="22" xfId="0" applyFont="1" applyFill="1" applyBorder="1" applyAlignment="1" applyProtection="1">
      <alignment horizontal="left" vertical="center" indent="1"/>
      <protection locked="0"/>
    </xf>
    <xf numFmtId="49" fontId="3" fillId="3" borderId="6" xfId="0" applyNumberFormat="1" applyFont="1" applyFill="1" applyBorder="1" applyAlignment="1" applyProtection="1">
      <alignment horizontal="left" vertical="top" wrapText="1"/>
      <protection locked="0"/>
    </xf>
    <xf numFmtId="49" fontId="3" fillId="3" borderId="7" xfId="0" applyNumberFormat="1" applyFont="1" applyFill="1" applyBorder="1" applyAlignment="1" applyProtection="1">
      <alignment horizontal="left" vertical="top" wrapText="1"/>
      <protection locked="0"/>
    </xf>
    <xf numFmtId="49" fontId="3" fillId="3" borderId="8" xfId="0" applyNumberFormat="1" applyFont="1" applyFill="1" applyBorder="1" applyAlignment="1" applyProtection="1">
      <alignment horizontal="left" vertical="top" wrapText="1"/>
      <protection locked="0"/>
    </xf>
    <xf numFmtId="0" fontId="3" fillId="3" borderId="6" xfId="0" applyNumberFormat="1" applyFont="1" applyFill="1" applyBorder="1" applyAlignment="1" applyProtection="1">
      <alignment horizontal="left" vertical="top" wrapText="1"/>
      <protection locked="0"/>
    </xf>
    <xf numFmtId="0" fontId="3" fillId="3" borderId="7" xfId="0" applyNumberFormat="1" applyFont="1" applyFill="1" applyBorder="1" applyAlignment="1" applyProtection="1">
      <alignment horizontal="left" vertical="top" wrapText="1"/>
      <protection locked="0"/>
    </xf>
    <xf numFmtId="0" fontId="3" fillId="3" borderId="8" xfId="0" applyNumberFormat="1" applyFont="1" applyFill="1" applyBorder="1" applyAlignment="1" applyProtection="1">
      <alignment horizontal="left" vertical="top" wrapText="1"/>
      <protection locked="0"/>
    </xf>
    <xf numFmtId="49" fontId="3" fillId="3" borderId="4" xfId="0" applyNumberFormat="1" applyFont="1" applyFill="1" applyBorder="1" applyAlignment="1" applyProtection="1">
      <alignment horizontal="left" vertical="top" wrapText="1"/>
      <protection locked="0"/>
    </xf>
    <xf numFmtId="49" fontId="3" fillId="3" borderId="0" xfId="0" applyNumberFormat="1" applyFont="1" applyFill="1" applyBorder="1" applyAlignment="1" applyProtection="1">
      <alignment horizontal="left" vertical="top" wrapText="1"/>
      <protection locked="0"/>
    </xf>
    <xf numFmtId="49" fontId="3" fillId="3" borderId="5" xfId="0" applyNumberFormat="1" applyFont="1" applyFill="1" applyBorder="1" applyAlignment="1" applyProtection="1">
      <alignment horizontal="left" vertical="top" wrapText="1"/>
      <protection locked="0"/>
    </xf>
    <xf numFmtId="0" fontId="3" fillId="0" borderId="25" xfId="0" applyFont="1" applyBorder="1" applyAlignment="1" applyProtection="1">
      <alignment horizontal="center" vertical="center"/>
      <protection hidden="1"/>
    </xf>
    <xf numFmtId="0" fontId="3" fillId="0" borderId="32" xfId="0" applyFont="1" applyBorder="1" applyAlignment="1" applyProtection="1">
      <alignment horizontal="center" vertical="center"/>
      <protection hidden="1"/>
    </xf>
    <xf numFmtId="0" fontId="3" fillId="0" borderId="24" xfId="0" applyFont="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hidden="1"/>
    </xf>
    <xf numFmtId="49" fontId="3" fillId="0" borderId="22" xfId="0" applyNumberFormat="1" applyFont="1" applyFill="1" applyBorder="1" applyAlignment="1" applyProtection="1">
      <alignment horizontal="center" vertical="center"/>
      <protection hidden="1"/>
    </xf>
    <xf numFmtId="49" fontId="3" fillId="3" borderId="22" xfId="0" applyNumberFormat="1" applyFont="1" applyFill="1" applyBorder="1" applyAlignment="1" applyProtection="1">
      <alignment horizontal="center" vertical="center"/>
      <protection locked="0"/>
    </xf>
    <xf numFmtId="0" fontId="3" fillId="0" borderId="9" xfId="0" applyFont="1" applyFill="1" applyBorder="1" applyAlignment="1" applyProtection="1">
      <alignment horizontal="center" vertical="center"/>
      <protection hidden="1"/>
    </xf>
    <xf numFmtId="0" fontId="3" fillId="0" borderId="23" xfId="0" applyFont="1" applyFill="1" applyBorder="1" applyAlignment="1" applyProtection="1">
      <alignment horizontal="center" vertical="center"/>
      <protection hidden="1"/>
    </xf>
    <xf numFmtId="0" fontId="3" fillId="0" borderId="21" xfId="0" applyFont="1" applyFill="1" applyBorder="1" applyAlignment="1" applyProtection="1">
      <alignment horizontal="center" vertical="center" wrapText="1"/>
      <protection hidden="1"/>
    </xf>
    <xf numFmtId="0" fontId="3" fillId="0" borderId="9" xfId="0" applyFont="1" applyFill="1" applyBorder="1" applyAlignment="1" applyProtection="1">
      <alignment horizontal="center" vertical="center" wrapText="1"/>
      <protection hidden="1"/>
    </xf>
    <xf numFmtId="0" fontId="3" fillId="0" borderId="24" xfId="0" applyFont="1" applyFill="1" applyBorder="1" applyAlignment="1" applyProtection="1">
      <alignment horizontal="center" vertical="center" wrapText="1"/>
      <protection hidden="1"/>
    </xf>
    <xf numFmtId="0" fontId="3" fillId="0" borderId="25" xfId="0" applyFont="1" applyFill="1" applyBorder="1" applyAlignment="1" applyProtection="1">
      <alignment horizontal="center" vertical="center" wrapText="1"/>
      <protection hidden="1"/>
    </xf>
    <xf numFmtId="0" fontId="3" fillId="3" borderId="23" xfId="0" applyFont="1" applyFill="1" applyBorder="1" applyAlignment="1" applyProtection="1">
      <alignment horizontal="center" vertical="center"/>
      <protection hidden="1"/>
    </xf>
    <xf numFmtId="177" fontId="3" fillId="0" borderId="9" xfId="0" applyNumberFormat="1" applyFont="1" applyFill="1" applyBorder="1" applyAlignment="1" applyProtection="1">
      <alignment horizontal="center" vertical="center"/>
      <protection hidden="1"/>
    </xf>
    <xf numFmtId="0" fontId="3" fillId="0" borderId="25" xfId="0" applyFont="1" applyFill="1" applyBorder="1" applyAlignment="1" applyProtection="1">
      <alignment horizontal="center" vertical="center"/>
      <protection hidden="1"/>
    </xf>
    <xf numFmtId="177" fontId="3" fillId="0" borderId="25" xfId="0" applyNumberFormat="1" applyFont="1" applyFill="1" applyBorder="1" applyAlignment="1" applyProtection="1">
      <alignment horizontal="center" vertical="center"/>
      <protection hidden="1"/>
    </xf>
    <xf numFmtId="0" fontId="3" fillId="0" borderId="32" xfId="0"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locked="0"/>
    </xf>
    <xf numFmtId="49" fontId="3" fillId="0" borderId="22" xfId="0" applyNumberFormat="1" applyFont="1" applyFill="1" applyBorder="1" applyAlignment="1" applyProtection="1">
      <alignment horizontal="center" vertical="center"/>
      <protection locked="0"/>
    </xf>
    <xf numFmtId="176" fontId="3" fillId="0" borderId="25" xfId="0" applyNumberFormat="1" applyFont="1" applyBorder="1" applyAlignment="1" applyProtection="1">
      <alignment horizontal="center" vertical="center"/>
      <protection locked="0"/>
    </xf>
    <xf numFmtId="0" fontId="3" fillId="0" borderId="25" xfId="0" applyNumberFormat="1" applyFont="1" applyBorder="1" applyAlignment="1" applyProtection="1">
      <alignment horizontal="center" vertical="center"/>
      <protection hidden="1"/>
    </xf>
    <xf numFmtId="0" fontId="3" fillId="0" borderId="57" xfId="0" applyNumberFormat="1" applyFont="1" applyBorder="1" applyAlignment="1" applyProtection="1">
      <alignment horizontal="center" vertical="center"/>
      <protection hidden="1"/>
    </xf>
    <xf numFmtId="0" fontId="3" fillId="4" borderId="23" xfId="0" applyNumberFormat="1" applyFont="1" applyFill="1" applyBorder="1" applyAlignment="1" applyProtection="1">
      <alignment horizontal="center" vertical="center"/>
      <protection hidden="1"/>
    </xf>
    <xf numFmtId="0" fontId="3" fillId="6" borderId="15" xfId="0" applyFont="1" applyFill="1" applyBorder="1" applyAlignment="1" applyProtection="1">
      <alignment horizontal="left" vertical="center"/>
      <protection hidden="1"/>
    </xf>
    <xf numFmtId="0" fontId="3" fillId="6" borderId="22" xfId="0" applyFont="1" applyFill="1" applyBorder="1" applyAlignment="1" applyProtection="1">
      <alignment horizontal="left" vertical="center"/>
      <protection hidden="1"/>
    </xf>
    <xf numFmtId="0" fontId="3" fillId="6" borderId="39" xfId="0" applyFont="1" applyFill="1" applyBorder="1" applyAlignment="1" applyProtection="1">
      <alignment horizontal="left" vertical="center"/>
      <protection hidden="1"/>
    </xf>
    <xf numFmtId="0" fontId="3" fillId="6" borderId="16" xfId="0" applyFont="1" applyFill="1" applyBorder="1" applyAlignment="1" applyProtection="1">
      <alignment horizontal="left" vertical="center"/>
      <protection hidden="1"/>
    </xf>
    <xf numFmtId="0" fontId="3" fillId="0" borderId="25" xfId="0" applyNumberFormat="1" applyFont="1" applyBorder="1" applyAlignment="1" applyProtection="1">
      <alignment horizontal="center" vertical="center"/>
      <protection locked="0"/>
    </xf>
    <xf numFmtId="0" fontId="3" fillId="0" borderId="32" xfId="0" applyNumberFormat="1" applyFont="1" applyBorder="1" applyAlignment="1" applyProtection="1">
      <alignment horizontal="center" vertical="center"/>
      <protection hidden="1"/>
    </xf>
    <xf numFmtId="0" fontId="1" fillId="0" borderId="0" xfId="0" applyFont="1" applyAlignment="1">
      <alignment horizontal="center" vertical="center"/>
    </xf>
    <xf numFmtId="0" fontId="25" fillId="0" borderId="0" xfId="1" applyFont="1" applyAlignment="1">
      <alignment horizontal="center" vertical="center"/>
    </xf>
    <xf numFmtId="0" fontId="5" fillId="2" borderId="1" xfId="0" applyFont="1" applyFill="1" applyBorder="1" applyAlignment="1">
      <alignment horizontal="center" vertical="center"/>
    </xf>
    <xf numFmtId="0" fontId="5" fillId="2" borderId="3" xfId="0" applyFont="1" applyFill="1" applyBorder="1" applyAlignment="1">
      <alignment horizontal="center" vertical="center"/>
    </xf>
    <xf numFmtId="49" fontId="5" fillId="2" borderId="1" xfId="0" applyNumberFormat="1" applyFont="1" applyFill="1" applyBorder="1" applyAlignment="1" applyProtection="1">
      <alignment horizontal="left" vertical="center"/>
      <protection locked="0"/>
    </xf>
    <xf numFmtId="49" fontId="5" fillId="2" borderId="2" xfId="0" applyNumberFormat="1" applyFont="1" applyFill="1" applyBorder="1" applyAlignment="1" applyProtection="1">
      <alignment horizontal="left" vertical="center"/>
      <protection locked="0"/>
    </xf>
    <xf numFmtId="49" fontId="5" fillId="2" borderId="3" xfId="0" applyNumberFormat="1" applyFont="1" applyFill="1" applyBorder="1" applyAlignment="1" applyProtection="1">
      <alignment horizontal="left" vertical="center"/>
      <protection locked="0"/>
    </xf>
    <xf numFmtId="49" fontId="20" fillId="0" borderId="6" xfId="0" applyNumberFormat="1" applyFont="1" applyBorder="1" applyAlignment="1" applyProtection="1">
      <alignment horizontal="center" vertical="center"/>
      <protection locked="0"/>
    </xf>
    <xf numFmtId="49" fontId="20" fillId="0" borderId="7" xfId="0" applyNumberFormat="1" applyFont="1" applyBorder="1" applyAlignment="1" applyProtection="1">
      <alignment horizontal="center" vertical="center"/>
      <protection locked="0"/>
    </xf>
    <xf numFmtId="49" fontId="20" fillId="0" borderId="8" xfId="0" applyNumberFormat="1" applyFont="1" applyBorder="1" applyAlignment="1" applyProtection="1">
      <alignment horizontal="center" vertical="center"/>
      <protection locked="0"/>
    </xf>
    <xf numFmtId="49" fontId="20" fillId="0" borderId="4" xfId="0" applyNumberFormat="1" applyFont="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wrapText="1"/>
      <protection locked="0"/>
    </xf>
    <xf numFmtId="49" fontId="20" fillId="0" borderId="5" xfId="0" applyNumberFormat="1" applyFont="1" applyBorder="1" applyAlignment="1" applyProtection="1">
      <alignment horizontal="center" vertical="center" wrapText="1"/>
      <protection locked="0"/>
    </xf>
    <xf numFmtId="49" fontId="20" fillId="0" borderId="6" xfId="0" applyNumberFormat="1" applyFont="1" applyBorder="1" applyAlignment="1" applyProtection="1">
      <alignment horizontal="center" vertical="center" wrapText="1"/>
      <protection locked="0"/>
    </xf>
    <xf numFmtId="49" fontId="20" fillId="0" borderId="7" xfId="0" applyNumberFormat="1" applyFont="1" applyBorder="1" applyAlignment="1" applyProtection="1">
      <alignment horizontal="center" vertical="center" wrapText="1"/>
      <protection locked="0"/>
    </xf>
    <xf numFmtId="49" fontId="20" fillId="0" borderId="8" xfId="0" applyNumberFormat="1" applyFont="1" applyBorder="1" applyAlignment="1" applyProtection="1">
      <alignment horizontal="center" vertical="center" wrapText="1"/>
      <protection locked="0"/>
    </xf>
    <xf numFmtId="0" fontId="15" fillId="2" borderId="29" xfId="0" applyFont="1" applyFill="1" applyBorder="1" applyAlignment="1" applyProtection="1">
      <alignment horizontal="center" vertical="center"/>
    </xf>
    <xf numFmtId="0" fontId="15" fillId="2" borderId="30" xfId="0" applyFont="1" applyFill="1" applyBorder="1" applyAlignment="1" applyProtection="1">
      <alignment horizontal="center" vertical="center"/>
    </xf>
    <xf numFmtId="0" fontId="15" fillId="2" borderId="31" xfId="0" applyFont="1" applyFill="1" applyBorder="1" applyAlignment="1" applyProtection="1">
      <alignment horizontal="center" vertical="center"/>
    </xf>
    <xf numFmtId="0" fontId="3" fillId="4" borderId="21" xfId="0" applyFont="1" applyFill="1" applyBorder="1" applyAlignment="1" applyProtection="1">
      <alignment horizontal="center" vertical="center"/>
    </xf>
    <xf numFmtId="0" fontId="3" fillId="4" borderId="9" xfId="0" applyFont="1" applyFill="1" applyBorder="1" applyAlignment="1" applyProtection="1">
      <alignment horizontal="center" vertical="center"/>
    </xf>
    <xf numFmtId="0" fontId="3" fillId="4" borderId="23" xfId="0" applyFont="1" applyFill="1" applyBorder="1" applyAlignment="1" applyProtection="1">
      <alignment horizontal="center" vertical="center"/>
    </xf>
    <xf numFmtId="0" fontId="16" fillId="0" borderId="9" xfId="0" applyFont="1" applyBorder="1" applyAlignment="1">
      <alignment horizontal="center" vertical="center"/>
    </xf>
    <xf numFmtId="0" fontId="16" fillId="0" borderId="23" xfId="0" applyFont="1" applyBorder="1" applyAlignment="1">
      <alignment horizontal="center" vertical="center"/>
    </xf>
    <xf numFmtId="0" fontId="16" fillId="0" borderId="25" xfId="0" applyFont="1" applyBorder="1" applyAlignment="1">
      <alignment horizontal="center" vertical="center"/>
    </xf>
    <xf numFmtId="0" fontId="16" fillId="0" borderId="32" xfId="0" applyFont="1" applyBorder="1" applyAlignment="1">
      <alignment horizontal="center" vertical="center"/>
    </xf>
    <xf numFmtId="0" fontId="16" fillId="0" borderId="21" xfId="0" applyFont="1" applyBorder="1" applyAlignment="1">
      <alignment horizontal="center" vertical="center"/>
    </xf>
    <xf numFmtId="0" fontId="16" fillId="0" borderId="24" xfId="0" applyFont="1" applyBorder="1" applyAlignment="1">
      <alignment horizontal="center" vertical="center"/>
    </xf>
    <xf numFmtId="0" fontId="18" fillId="2" borderId="1" xfId="0" applyFont="1" applyFill="1" applyBorder="1" applyAlignment="1">
      <alignment horizontal="center" vertical="center"/>
    </xf>
    <xf numFmtId="0" fontId="18" fillId="2" borderId="3" xfId="0" applyFont="1" applyFill="1" applyBorder="1" applyAlignment="1">
      <alignment horizontal="center" vertical="center"/>
    </xf>
    <xf numFmtId="0" fontId="17" fillId="8" borderId="6" xfId="0" applyFont="1" applyFill="1" applyBorder="1" applyAlignment="1" applyProtection="1">
      <alignment horizontal="center" vertical="center"/>
      <protection locked="0"/>
    </xf>
    <xf numFmtId="0" fontId="17" fillId="8" borderId="8" xfId="0" applyFont="1" applyFill="1" applyBorder="1" applyAlignment="1" applyProtection="1">
      <alignment horizontal="center" vertical="center"/>
      <protection locked="0"/>
    </xf>
    <xf numFmtId="0" fontId="15" fillId="2" borderId="14" xfId="0" applyFont="1" applyFill="1" applyBorder="1" applyAlignment="1" applyProtection="1">
      <alignment horizontal="center" vertical="center"/>
      <protection hidden="1"/>
    </xf>
    <xf numFmtId="0" fontId="15" fillId="2" borderId="16" xfId="0" applyFont="1" applyFill="1" applyBorder="1" applyAlignment="1" applyProtection="1">
      <alignment horizontal="center" vertical="center"/>
      <protection hidden="1"/>
    </xf>
  </cellXfs>
  <cellStyles count="2">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121920</xdr:colOff>
          <xdr:row>14</xdr:row>
          <xdr:rowOff>38100</xdr:rowOff>
        </xdr:from>
        <xdr:to>
          <xdr:col>22</xdr:col>
          <xdr:colOff>152400</xdr:colOff>
          <xdr:row>16</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生成属性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121920</xdr:colOff>
          <xdr:row>17</xdr:row>
          <xdr:rowOff>7620</xdr:rowOff>
        </xdr:from>
        <xdr:to>
          <xdr:col>22</xdr:col>
          <xdr:colOff>152400</xdr:colOff>
          <xdr:row>19</xdr:row>
          <xdr:rowOff>7620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清空属性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100</xdr:row>
          <xdr:rowOff>68580</xdr:rowOff>
        </xdr:from>
        <xdr:to>
          <xdr:col>11</xdr:col>
          <xdr:colOff>60960</xdr:colOff>
          <xdr:row>101</xdr:row>
          <xdr:rowOff>152400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000" b="0" i="0" u="none" strike="noStrike" baseline="0">
                  <a:solidFill>
                    <a:srgbClr val="000000"/>
                  </a:solidFill>
                  <a:latin typeface="微软雅黑"/>
                  <a:ea typeface="微软雅黑"/>
                </a:rPr>
                <a:t>点击这里来隐藏不必要的标</a:t>
              </a:r>
              <a:r>
                <a:rPr lang="zh-CN" altLang="en-US" sz="1000" b="0" i="0" u="none" strike="noStrike" baseline="0">
                  <a:solidFill>
                    <a:srgbClr val="000000"/>
                  </a:solidFill>
                  <a:latin typeface="等线"/>
                  <a:ea typeface="等线"/>
                </a:rPr>
                <a:t>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32</xdr:row>
          <xdr:rowOff>45720</xdr:rowOff>
        </xdr:from>
        <xdr:to>
          <xdr:col>9</xdr:col>
          <xdr:colOff>68580</xdr:colOff>
          <xdr:row>33</xdr:row>
          <xdr:rowOff>160020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生成幸运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228600</xdr:colOff>
          <xdr:row>6</xdr:row>
          <xdr:rowOff>0</xdr:rowOff>
        </xdr:from>
        <xdr:to>
          <xdr:col>13</xdr:col>
          <xdr:colOff>83820</xdr:colOff>
          <xdr:row>8</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刷新掷骰结果</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nedrive/TRPG/Call%20of%20Cthulhu/Pulp%20Cthulhu&#21322;&#33258;&#21160;&#20154;&#29289;&#21345;v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建卡"/>
      <sheetName val="人物卡"/>
      <sheetName val="技能专攻"/>
      <sheetName val="职业列表"/>
      <sheetName val="英雄天赋"/>
      <sheetName val="资产对照表"/>
      <sheetName val="掷骰"/>
      <sheetName val="txt输出"/>
      <sheetName val="附表"/>
      <sheetName val="Pulp Cthulhu半自动人物卡v0.0.1"/>
    </sheetNames>
    <definedNames>
      <definedName name="F5F5F5"/>
    </definedNames>
    <sheetDataSet>
      <sheetData sheetId="0">
        <row r="31">
          <cell r="G31" t="str">
            <v>——</v>
          </cell>
        </row>
        <row r="32">
          <cell r="G32" t="str">
            <v>——</v>
          </cell>
        </row>
        <row r="33">
          <cell r="G33" t="str">
            <v>——</v>
          </cell>
        </row>
        <row r="34">
          <cell r="G34" t="str">
            <v>——</v>
          </cell>
        </row>
        <row r="38">
          <cell r="E38">
            <v>1</v>
          </cell>
        </row>
      </sheetData>
      <sheetData sheetId="1">
        <row r="3">
          <cell r="R3">
            <v>0</v>
          </cell>
          <cell r="X3">
            <v>0</v>
          </cell>
          <cell r="AD3">
            <v>0</v>
          </cell>
        </row>
        <row r="5">
          <cell r="R5">
            <v>0</v>
          </cell>
          <cell r="X5">
            <v>0</v>
          </cell>
          <cell r="AD5">
            <v>0</v>
          </cell>
        </row>
        <row r="7">
          <cell r="R7">
            <v>0</v>
          </cell>
          <cell r="X7">
            <v>0</v>
          </cell>
          <cell r="AD7">
            <v>8</v>
          </cell>
        </row>
        <row r="10">
          <cell r="E10">
            <v>0</v>
          </cell>
          <cell r="H10">
            <v>0</v>
          </cell>
          <cell r="N10">
            <v>0</v>
          </cell>
          <cell r="Q10">
            <v>99</v>
          </cell>
          <cell r="W10">
            <v>0</v>
          </cell>
          <cell r="AD10">
            <v>0</v>
          </cell>
          <cell r="AF10">
            <v>0</v>
          </cell>
        </row>
        <row r="24">
          <cell r="H24">
            <v>0</v>
          </cell>
        </row>
        <row r="39">
          <cell r="AN39" t="str">
            <v>错误</v>
          </cell>
        </row>
        <row r="41">
          <cell r="AN41" t="str">
            <v>错误</v>
          </cell>
        </row>
        <row r="43">
          <cell r="AN43">
            <v>0</v>
          </cell>
        </row>
      </sheetData>
      <sheetData sheetId="2"/>
      <sheetData sheetId="3"/>
      <sheetData sheetId="4">
        <row r="4">
          <cell r="C4" t="str">
            <v>明察秋毫</v>
          </cell>
        </row>
        <row r="5">
          <cell r="C5" t="str">
            <v>快速愈合</v>
          </cell>
        </row>
        <row r="6">
          <cell r="C6" t="str">
            <v>昏暗视觉</v>
          </cell>
        </row>
        <row r="7">
          <cell r="C7" t="str">
            <v>耐力卓绝</v>
          </cell>
        </row>
        <row r="8">
          <cell r="C8" t="str">
            <v>天生神力</v>
          </cell>
        </row>
        <row r="9">
          <cell r="C9" t="str">
            <v>千杯不醉</v>
          </cell>
        </row>
        <row r="10">
          <cell r="C10" t="str">
            <v>强健体魄</v>
          </cell>
        </row>
        <row r="11">
          <cell r="C11" t="str">
            <v>铁骨铮铮</v>
          </cell>
        </row>
        <row r="12">
          <cell r="C12" t="str">
            <v>耳听八方</v>
          </cell>
        </row>
        <row r="13">
          <cell r="C13" t="str">
            <v>魅力四射</v>
          </cell>
        </row>
        <row r="17">
          <cell r="C17" t="str">
            <v>坚定不移</v>
          </cell>
        </row>
        <row r="18">
          <cell r="C18" t="str">
            <v>百折不挠</v>
          </cell>
        </row>
        <row r="19">
          <cell r="C19" t="str">
            <v>决心坚定</v>
          </cell>
        </row>
        <row r="20">
          <cell r="C20" t="str">
            <v>一目十行</v>
          </cell>
        </row>
        <row r="21">
          <cell r="C21" t="str">
            <v>语言学家</v>
          </cell>
        </row>
        <row r="22">
          <cell r="C22" t="str">
            <v>魔法亲和</v>
          </cell>
        </row>
        <row r="23">
          <cell r="C23" t="str">
            <v>过目不忘</v>
          </cell>
        </row>
        <row r="24">
          <cell r="C24" t="str">
            <v>博学多才</v>
          </cell>
        </row>
        <row r="25">
          <cell r="C25" t="str">
            <v>灵能觉醒</v>
          </cell>
        </row>
        <row r="26">
          <cell r="C26" t="str">
            <v>足智多谋</v>
          </cell>
        </row>
        <row r="30">
          <cell r="C30" t="str">
            <v>处变不惊</v>
          </cell>
        </row>
        <row r="31">
          <cell r="C31" t="str">
            <v>专注打击</v>
          </cell>
        </row>
        <row r="32">
          <cell r="C32" t="str">
            <v>快速装填</v>
          </cell>
        </row>
        <row r="33">
          <cell r="C33" t="str">
            <v>身手敏捷</v>
          </cell>
        </row>
        <row r="34">
          <cell r="C34" t="str">
            <v>目光如炬</v>
          </cell>
        </row>
        <row r="35">
          <cell r="C35" t="str">
            <v>技巧卓绝</v>
          </cell>
        </row>
        <row r="36">
          <cell r="C36" t="str">
            <v>疾风连击</v>
          </cell>
        </row>
        <row r="37">
          <cell r="C37" t="str">
            <v>动如脱兔</v>
          </cell>
        </row>
        <row r="38">
          <cell r="C38" t="str">
            <v>快速瞄准</v>
          </cell>
        </row>
        <row r="39">
          <cell r="C39" t="str">
            <v>手枪专精</v>
          </cell>
        </row>
        <row r="43">
          <cell r="C43" t="str">
            <v>凶神恶煞</v>
          </cell>
        </row>
        <row r="44">
          <cell r="C44" t="str">
            <v>奇妙道具</v>
          </cell>
        </row>
        <row r="45">
          <cell r="C45" t="str">
            <v>吉人天相</v>
          </cell>
        </row>
        <row r="46">
          <cell r="C46" t="str">
            <v>神话知识</v>
          </cell>
        </row>
        <row r="47">
          <cell r="C47" t="str">
            <v>怪奇技术</v>
          </cell>
        </row>
        <row r="48">
          <cell r="C48" t="str">
            <v>遁入暗影</v>
          </cell>
        </row>
        <row r="49">
          <cell r="C49" t="str">
            <v>能工巧匠</v>
          </cell>
        </row>
        <row r="50">
          <cell r="C50" t="str">
            <v>动物朋友</v>
          </cell>
        </row>
        <row r="51">
          <cell r="C51" t="str">
            <v>伪装大师</v>
          </cell>
        </row>
        <row r="52">
          <cell r="C52" t="str">
            <v>早有准备</v>
          </cell>
        </row>
      </sheetData>
      <sheetData sheetId="5"/>
      <sheetData sheetId="6"/>
      <sheetData sheetId="7"/>
      <sheetData sheetId="8">
        <row r="23">
          <cell r="F23">
            <v>8</v>
          </cell>
        </row>
      </sheetData>
      <sheetData sheetId="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goddessfantasy.net/bbs/index.php?topic=89719.0" TargetMode="External"/><Relationship Id="rId7" Type="http://schemas.openxmlformats.org/officeDocument/2006/relationships/vmlDrawing" Target="../drawings/vmlDrawing1.vml"/><Relationship Id="rId2" Type="http://schemas.openxmlformats.org/officeDocument/2006/relationships/hyperlink" Target="http://www.goddessfantasy.net/bbs/index.php?topic=89557.0" TargetMode="External"/><Relationship Id="rId1" Type="http://schemas.openxmlformats.org/officeDocument/2006/relationships/hyperlink" Target="https://www.bilibili.com/video/av32536499/"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www.goddessfantasy.net/bbs/index.php?topic=88913.0"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3462-C7F9-40D5-9336-8242713D17F2}">
  <sheetPr codeName="Sheet1"/>
  <dimension ref="A1:AN140"/>
  <sheetViews>
    <sheetView showGridLines="0" showRowColHeaders="0" topLeftCell="A37" zoomScale="115" zoomScaleNormal="115" workbookViewId="0">
      <selection activeCell="K65" sqref="K65:L65"/>
    </sheetView>
  </sheetViews>
  <sheetFormatPr defaultColWidth="3.21875" defaultRowHeight="15" x14ac:dyDescent="0.25"/>
  <cols>
    <col min="1" max="1" width="3.21875" style="41"/>
    <col min="2" max="16384" width="3.21875" style="38"/>
  </cols>
  <sheetData>
    <row r="1" spans="1:38" s="36" customFormat="1" x14ac:dyDescent="0.25">
      <c r="A1" s="3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35"/>
    </row>
    <row r="2" spans="1:38" s="36" customFormat="1" ht="27.6" x14ac:dyDescent="0.25">
      <c r="A2" s="34"/>
      <c r="B2" s="296" t="s">
        <v>556</v>
      </c>
      <c r="C2" s="296"/>
      <c r="D2" s="296"/>
      <c r="E2" s="296"/>
      <c r="F2" s="296"/>
      <c r="G2" s="296"/>
      <c r="H2" s="296"/>
      <c r="I2" s="296"/>
      <c r="J2" s="296"/>
      <c r="K2" s="296"/>
      <c r="L2" s="124"/>
      <c r="M2" s="124"/>
      <c r="N2" s="124"/>
      <c r="O2" s="124"/>
      <c r="P2" s="124"/>
      <c r="Q2" s="124"/>
      <c r="R2" s="124"/>
      <c r="S2" s="124"/>
      <c r="T2" s="124"/>
      <c r="U2" s="124"/>
      <c r="V2" s="124"/>
      <c r="W2" s="124"/>
      <c r="X2" s="124"/>
      <c r="Y2" s="124"/>
      <c r="Z2" s="124"/>
      <c r="AA2" s="124"/>
      <c r="AB2" s="124"/>
      <c r="AC2" s="124"/>
      <c r="AD2" s="124"/>
      <c r="AE2" s="124"/>
      <c r="AF2" s="124"/>
      <c r="AG2" s="124"/>
      <c r="AH2" s="124"/>
      <c r="AI2" s="124"/>
      <c r="AJ2" s="35"/>
    </row>
    <row r="3" spans="1:38" s="36" customFormat="1" x14ac:dyDescent="0.25">
      <c r="A3" s="34"/>
      <c r="B3" s="124" t="s">
        <v>596</v>
      </c>
      <c r="C3" s="124"/>
      <c r="D3" s="124"/>
      <c r="E3" s="124"/>
      <c r="F3" s="124"/>
      <c r="G3" s="124"/>
      <c r="H3" s="124"/>
      <c r="I3" s="124"/>
      <c r="J3" s="124"/>
      <c r="K3" s="124"/>
      <c r="L3" s="124"/>
      <c r="M3" s="124"/>
      <c r="N3" s="124"/>
      <c r="O3" s="124"/>
      <c r="P3" s="124"/>
      <c r="Q3" s="124"/>
      <c r="R3" s="124"/>
      <c r="S3" s="124"/>
      <c r="T3" s="124"/>
      <c r="U3" s="124"/>
      <c r="V3" s="124"/>
      <c r="W3" s="124"/>
      <c r="X3" s="124"/>
      <c r="Y3" s="124"/>
      <c r="Z3" s="124"/>
      <c r="AA3" s="124"/>
      <c r="AB3" s="124"/>
      <c r="AC3" s="124"/>
      <c r="AD3" s="124"/>
      <c r="AE3" s="124"/>
      <c r="AF3" s="124"/>
      <c r="AG3" s="124"/>
      <c r="AH3" s="124"/>
      <c r="AI3" s="124"/>
      <c r="AJ3" s="81"/>
    </row>
    <row r="4" spans="1:38" s="36" customFormat="1" x14ac:dyDescent="0.25">
      <c r="A4" s="34"/>
      <c r="B4" s="297" t="s">
        <v>707</v>
      </c>
      <c r="C4" s="297"/>
      <c r="D4" s="297"/>
      <c r="E4" s="297"/>
      <c r="F4" s="297"/>
      <c r="G4" s="297"/>
      <c r="H4" s="118"/>
      <c r="I4" s="297" t="s">
        <v>708</v>
      </c>
      <c r="J4" s="297"/>
      <c r="K4" s="297"/>
      <c r="L4" s="297"/>
      <c r="M4" s="297"/>
      <c r="N4" s="297"/>
      <c r="O4" s="118"/>
      <c r="P4" s="297" t="s">
        <v>709</v>
      </c>
      <c r="Q4" s="297"/>
      <c r="R4" s="297"/>
      <c r="S4" s="297"/>
      <c r="T4" s="297"/>
      <c r="U4" s="297"/>
      <c r="V4" s="37"/>
      <c r="W4" s="37"/>
      <c r="X4" s="37"/>
      <c r="Y4" s="37"/>
      <c r="Z4" s="37"/>
      <c r="AA4" s="156" t="s">
        <v>710</v>
      </c>
      <c r="AB4" s="156"/>
      <c r="AC4" s="156"/>
      <c r="AD4" s="156"/>
      <c r="AE4" s="156"/>
      <c r="AF4" s="156"/>
      <c r="AG4" s="156"/>
      <c r="AH4" s="156"/>
      <c r="AI4" s="156"/>
      <c r="AJ4" s="81"/>
    </row>
    <row r="5" spans="1:38" s="36" customFormat="1" x14ac:dyDescent="0.25">
      <c r="A5" s="34"/>
      <c r="B5" s="124" t="s">
        <v>557</v>
      </c>
      <c r="C5" s="124"/>
      <c r="D5" s="124"/>
      <c r="E5" s="124"/>
      <c r="F5" s="124"/>
      <c r="G5" s="124"/>
      <c r="H5" s="124"/>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c r="AI5" s="124"/>
      <c r="AJ5" s="81"/>
    </row>
    <row r="6" spans="1:38" s="36" customFormat="1" x14ac:dyDescent="0.25">
      <c r="A6" s="34"/>
      <c r="B6" s="124"/>
      <c r="C6" s="124"/>
      <c r="D6" s="124"/>
      <c r="E6" s="124"/>
      <c r="F6" s="124"/>
      <c r="G6" s="124"/>
      <c r="H6" s="124"/>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24"/>
      <c r="AI6" s="124"/>
      <c r="AJ6" s="35"/>
    </row>
    <row r="7" spans="1:38" s="36" customFormat="1" ht="15.6" thickBot="1" x14ac:dyDescent="0.3">
      <c r="A7" s="34"/>
      <c r="B7" s="124" t="s">
        <v>597</v>
      </c>
      <c r="C7" s="124"/>
      <c r="D7" s="124"/>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124"/>
      <c r="AI7" s="124"/>
      <c r="AJ7" s="35"/>
    </row>
    <row r="8" spans="1:38" s="36" customFormat="1" x14ac:dyDescent="0.25">
      <c r="A8" s="34"/>
      <c r="B8" s="298" t="s">
        <v>558</v>
      </c>
      <c r="C8" s="299"/>
      <c r="D8" s="299"/>
      <c r="E8" s="125" t="s">
        <v>726</v>
      </c>
      <c r="F8" s="125"/>
      <c r="G8" s="126"/>
      <c r="H8" s="35"/>
      <c r="I8" s="124"/>
      <c r="J8" s="124"/>
      <c r="K8" s="124"/>
      <c r="L8" s="124"/>
      <c r="M8" s="124"/>
      <c r="N8" s="124"/>
      <c r="O8" s="124"/>
      <c r="P8" s="124"/>
      <c r="Q8" s="124"/>
      <c r="R8" s="124"/>
      <c r="S8" s="124"/>
      <c r="T8" s="124"/>
      <c r="U8" s="124"/>
      <c r="V8" s="124"/>
      <c r="W8" s="124"/>
      <c r="X8" s="124"/>
      <c r="Y8" s="124"/>
      <c r="Z8" s="124"/>
      <c r="AA8" s="124"/>
      <c r="AB8" s="124"/>
      <c r="AC8" s="124"/>
      <c r="AD8" s="124"/>
      <c r="AE8" s="124"/>
      <c r="AF8" s="124"/>
      <c r="AG8" s="124"/>
      <c r="AH8" s="124"/>
      <c r="AI8" s="124"/>
      <c r="AJ8" s="35"/>
    </row>
    <row r="9" spans="1:38" s="36" customFormat="1" ht="15.6" thickBot="1" x14ac:dyDescent="0.3">
      <c r="A9" s="34"/>
      <c r="B9" s="300"/>
      <c r="C9" s="276"/>
      <c r="D9" s="276"/>
      <c r="E9" s="127"/>
      <c r="F9" s="127"/>
      <c r="G9" s="128"/>
      <c r="H9" s="35"/>
      <c r="I9" s="124" t="s">
        <v>607</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35"/>
    </row>
    <row r="10" spans="1:38" s="36" customFormat="1" x14ac:dyDescent="0.25">
      <c r="A10" s="34"/>
      <c r="B10" s="124"/>
      <c r="C10" s="124"/>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35"/>
    </row>
    <row r="11" spans="1:38" ht="27.6" x14ac:dyDescent="0.25">
      <c r="A11" s="34"/>
      <c r="B11" s="296" t="s">
        <v>552</v>
      </c>
      <c r="C11" s="296"/>
      <c r="D11" s="296"/>
      <c r="E11" s="296"/>
      <c r="F11" s="296"/>
      <c r="G11" s="296"/>
      <c r="H11" s="296"/>
      <c r="I11" s="296"/>
      <c r="J11" s="296"/>
      <c r="K11" s="296"/>
      <c r="L11" s="124"/>
      <c r="M11" s="124"/>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35"/>
      <c r="AK11" s="36"/>
    </row>
    <row r="12" spans="1:38" ht="15.6" x14ac:dyDescent="0.25">
      <c r="A12" s="34"/>
      <c r="B12" s="124" t="s">
        <v>579</v>
      </c>
      <c r="C12" s="124"/>
      <c r="D12" s="124"/>
      <c r="E12" s="124"/>
      <c r="F12" s="124"/>
      <c r="G12" s="124"/>
      <c r="H12" s="124"/>
      <c r="I12" s="124"/>
      <c r="J12" s="124"/>
      <c r="K12" s="124"/>
      <c r="L12" s="124"/>
      <c r="M12" s="124"/>
      <c r="N12" s="124"/>
      <c r="O12" s="124"/>
      <c r="P12" s="124"/>
      <c r="Q12" s="124"/>
      <c r="R12" s="124"/>
      <c r="S12" s="124"/>
      <c r="T12" s="124"/>
      <c r="U12" s="124"/>
      <c r="V12" s="124"/>
      <c r="W12" s="124"/>
      <c r="X12" s="310" t="s">
        <v>554</v>
      </c>
      <c r="Y12" s="310"/>
      <c r="Z12" s="310"/>
      <c r="AA12" s="310"/>
      <c r="AB12" s="310"/>
      <c r="AC12" s="310"/>
      <c r="AD12" s="310"/>
      <c r="AE12" s="310"/>
      <c r="AF12" s="310"/>
      <c r="AG12" s="310"/>
      <c r="AH12" s="310"/>
      <c r="AI12" s="310"/>
      <c r="AJ12" s="35"/>
      <c r="AK12" s="119">
        <f ca="1">RANDBETWEEN(1,6)</f>
        <v>4</v>
      </c>
      <c r="AL12" s="120"/>
    </row>
    <row r="13" spans="1:38" ht="15.6" thickBot="1" x14ac:dyDescent="0.3">
      <c r="A13" s="34"/>
      <c r="B13" s="353" t="s">
        <v>571</v>
      </c>
      <c r="C13" s="353"/>
      <c r="D13" s="353"/>
      <c r="E13" s="353"/>
      <c r="F13" s="353"/>
      <c r="G13" s="353"/>
      <c r="H13" s="353"/>
      <c r="I13" s="353"/>
      <c r="J13" s="353"/>
      <c r="K13" s="353"/>
      <c r="L13" s="353"/>
      <c r="M13" s="353"/>
      <c r="N13" s="353"/>
      <c r="O13" s="353"/>
      <c r="P13" s="353"/>
      <c r="Q13" s="353"/>
      <c r="R13" s="353"/>
      <c r="S13" s="353"/>
      <c r="T13" s="353"/>
      <c r="U13" s="353"/>
      <c r="V13" s="353"/>
      <c r="W13" s="353"/>
      <c r="X13" s="311"/>
      <c r="Y13" s="311"/>
      <c r="Z13" s="311"/>
      <c r="AA13" s="311"/>
      <c r="AB13" s="311"/>
      <c r="AC13" s="311"/>
      <c r="AD13" s="311"/>
      <c r="AE13" s="311"/>
      <c r="AF13" s="311"/>
      <c r="AG13" s="311"/>
      <c r="AH13" s="311"/>
      <c r="AI13" s="311"/>
      <c r="AJ13" s="35"/>
      <c r="AK13" s="119">
        <f t="shared" ref="AK13:AK32" ca="1" si="0">RANDBETWEEN(1,6)</f>
        <v>5</v>
      </c>
      <c r="AL13" s="120"/>
    </row>
    <row r="14" spans="1:38" x14ac:dyDescent="0.25">
      <c r="A14" s="34"/>
      <c r="B14" s="329" t="s">
        <v>286</v>
      </c>
      <c r="C14" s="330"/>
      <c r="D14" s="330"/>
      <c r="E14" s="330"/>
      <c r="F14" s="330"/>
      <c r="G14" s="330"/>
      <c r="H14" s="330"/>
      <c r="I14" s="330"/>
      <c r="J14" s="330"/>
      <c r="K14" s="330"/>
      <c r="L14" s="330"/>
      <c r="M14" s="330"/>
      <c r="N14" s="330"/>
      <c r="O14" s="330"/>
      <c r="P14" s="330"/>
      <c r="Q14" s="330"/>
      <c r="R14" s="330"/>
      <c r="S14" s="331"/>
      <c r="T14" s="39"/>
      <c r="U14" s="39"/>
      <c r="V14" s="39"/>
      <c r="W14" s="39"/>
      <c r="X14" s="243" t="s">
        <v>553</v>
      </c>
      <c r="Y14" s="244"/>
      <c r="Z14" s="244"/>
      <c r="AA14" s="244"/>
      <c r="AB14" s="244"/>
      <c r="AC14" s="244"/>
      <c r="AD14" s="244"/>
      <c r="AE14" s="244"/>
      <c r="AF14" s="244"/>
      <c r="AG14" s="244"/>
      <c r="AH14" s="244"/>
      <c r="AI14" s="245"/>
      <c r="AJ14" s="39"/>
      <c r="AK14" s="119">
        <f t="shared" ca="1" si="0"/>
        <v>5</v>
      </c>
      <c r="AL14" s="120"/>
    </row>
    <row r="15" spans="1:38" x14ac:dyDescent="0.25">
      <c r="A15" s="34"/>
      <c r="B15" s="225" t="s">
        <v>345</v>
      </c>
      <c r="C15" s="226"/>
      <c r="D15" s="229">
        <v>55</v>
      </c>
      <c r="E15" s="229"/>
      <c r="F15" s="231">
        <f>INT(D15/2)</f>
        <v>27</v>
      </c>
      <c r="G15" s="231"/>
      <c r="H15" s="288" t="s">
        <v>347</v>
      </c>
      <c r="I15" s="288"/>
      <c r="J15" s="234">
        <v>70</v>
      </c>
      <c r="K15" s="234"/>
      <c r="L15" s="236">
        <f>INT(J15/2)</f>
        <v>35</v>
      </c>
      <c r="M15" s="236"/>
      <c r="N15" s="293" t="s">
        <v>555</v>
      </c>
      <c r="O15" s="226"/>
      <c r="P15" s="229">
        <v>75</v>
      </c>
      <c r="Q15" s="229"/>
      <c r="R15" s="231">
        <f>INT(P15/2)</f>
        <v>37</v>
      </c>
      <c r="S15" s="292"/>
      <c r="T15" s="39"/>
      <c r="U15" s="39"/>
      <c r="V15" s="39"/>
      <c r="W15" s="39"/>
      <c r="X15" s="279" t="s">
        <v>345</v>
      </c>
      <c r="Y15" s="280"/>
      <c r="Z15" s="267">
        <f ca="1">SUM(AK12:AK14)*5</f>
        <v>70</v>
      </c>
      <c r="AA15" s="268"/>
      <c r="AB15" s="271" t="s">
        <v>347</v>
      </c>
      <c r="AC15" s="272"/>
      <c r="AD15" s="258">
        <f ca="1">SUM(AK18:AK20)*5</f>
        <v>55</v>
      </c>
      <c r="AE15" s="286"/>
      <c r="AF15" s="293" t="s">
        <v>555</v>
      </c>
      <c r="AG15" s="226"/>
      <c r="AH15" s="267">
        <f ca="1">SUM(AK31:AK32,6)*5</f>
        <v>90</v>
      </c>
      <c r="AI15" s="342"/>
      <c r="AJ15" s="39"/>
      <c r="AK15" s="119">
        <f t="shared" ca="1" si="0"/>
        <v>6</v>
      </c>
      <c r="AL15" s="120"/>
    </row>
    <row r="16" spans="1:38" x14ac:dyDescent="0.25">
      <c r="A16" s="34"/>
      <c r="B16" s="225"/>
      <c r="C16" s="226"/>
      <c r="D16" s="229"/>
      <c r="E16" s="229"/>
      <c r="F16" s="291">
        <f>INT(D15/5)</f>
        <v>11</v>
      </c>
      <c r="G16" s="291"/>
      <c r="H16" s="288"/>
      <c r="I16" s="288"/>
      <c r="J16" s="234"/>
      <c r="K16" s="234"/>
      <c r="L16" s="236">
        <f>INT(J15/5)</f>
        <v>14</v>
      </c>
      <c r="M16" s="236"/>
      <c r="N16" s="226"/>
      <c r="O16" s="226"/>
      <c r="P16" s="229"/>
      <c r="Q16" s="229"/>
      <c r="R16" s="231">
        <f>INT(P15/5)</f>
        <v>15</v>
      </c>
      <c r="S16" s="292"/>
      <c r="T16" s="39"/>
      <c r="U16" s="39"/>
      <c r="V16" s="39"/>
      <c r="W16" s="39"/>
      <c r="X16" s="289"/>
      <c r="Y16" s="290"/>
      <c r="Z16" s="269"/>
      <c r="AA16" s="270"/>
      <c r="AB16" s="273"/>
      <c r="AC16" s="274"/>
      <c r="AD16" s="260"/>
      <c r="AE16" s="287"/>
      <c r="AF16" s="226"/>
      <c r="AG16" s="226"/>
      <c r="AH16" s="269"/>
      <c r="AI16" s="343"/>
      <c r="AJ16" s="39"/>
      <c r="AK16" s="119">
        <f t="shared" ca="1" si="0"/>
        <v>1</v>
      </c>
      <c r="AL16" s="120"/>
    </row>
    <row r="17" spans="1:40" x14ac:dyDescent="0.25">
      <c r="A17" s="34"/>
      <c r="B17" s="312" t="s">
        <v>346</v>
      </c>
      <c r="C17" s="288"/>
      <c r="D17" s="234">
        <v>50</v>
      </c>
      <c r="E17" s="234"/>
      <c r="F17" s="236">
        <f t="shared" ref="F17" si="1">INT(D17/2)</f>
        <v>25</v>
      </c>
      <c r="G17" s="236"/>
      <c r="H17" s="226" t="s">
        <v>424</v>
      </c>
      <c r="I17" s="226"/>
      <c r="J17" s="229">
        <v>75</v>
      </c>
      <c r="K17" s="229"/>
      <c r="L17" s="231">
        <f t="shared" ref="L17" si="2">INT(J17/2)</f>
        <v>37</v>
      </c>
      <c r="M17" s="231"/>
      <c r="N17" s="288" t="s">
        <v>551</v>
      </c>
      <c r="O17" s="288"/>
      <c r="P17" s="234">
        <v>55</v>
      </c>
      <c r="Q17" s="234"/>
      <c r="R17" s="236">
        <f>INT(P17/2)</f>
        <v>27</v>
      </c>
      <c r="S17" s="257"/>
      <c r="T17" s="39"/>
      <c r="U17" s="39"/>
      <c r="V17" s="39"/>
      <c r="W17" s="39"/>
      <c r="X17" s="284" t="s">
        <v>346</v>
      </c>
      <c r="Y17" s="272"/>
      <c r="Z17" s="258">
        <f ca="1">SUM(AK15:AK17)*5</f>
        <v>55</v>
      </c>
      <c r="AA17" s="286"/>
      <c r="AB17" s="251" t="s">
        <v>424</v>
      </c>
      <c r="AC17" s="280"/>
      <c r="AD17" s="267">
        <f ca="1">SUM(AK21:AK23)*5</f>
        <v>50</v>
      </c>
      <c r="AE17" s="268"/>
      <c r="AF17" s="271" t="s">
        <v>551</v>
      </c>
      <c r="AG17" s="272"/>
      <c r="AH17" s="258">
        <f ca="1">SUM(AK24:AK26)*5</f>
        <v>20</v>
      </c>
      <c r="AI17" s="259"/>
      <c r="AJ17" s="39"/>
      <c r="AK17" s="119">
        <f t="shared" ca="1" si="0"/>
        <v>4</v>
      </c>
      <c r="AL17" s="120"/>
    </row>
    <row r="18" spans="1:40" x14ac:dyDescent="0.25">
      <c r="A18" s="34"/>
      <c r="B18" s="312"/>
      <c r="C18" s="288"/>
      <c r="D18" s="234"/>
      <c r="E18" s="234"/>
      <c r="F18" s="294">
        <f t="shared" ref="F18" si="3">INT(D17/5)</f>
        <v>10</v>
      </c>
      <c r="G18" s="294"/>
      <c r="H18" s="226"/>
      <c r="I18" s="226"/>
      <c r="J18" s="229"/>
      <c r="K18" s="229"/>
      <c r="L18" s="231">
        <f t="shared" ref="L18" si="4">INT(J17/5)</f>
        <v>15</v>
      </c>
      <c r="M18" s="231"/>
      <c r="N18" s="288"/>
      <c r="O18" s="288"/>
      <c r="P18" s="234"/>
      <c r="Q18" s="234"/>
      <c r="R18" s="236">
        <f>INT(P17/5)</f>
        <v>11</v>
      </c>
      <c r="S18" s="257"/>
      <c r="T18" s="39"/>
      <c r="U18" s="39"/>
      <c r="V18" s="39"/>
      <c r="W18" s="39"/>
      <c r="X18" s="285"/>
      <c r="Y18" s="274"/>
      <c r="Z18" s="260"/>
      <c r="AA18" s="287"/>
      <c r="AB18" s="295"/>
      <c r="AC18" s="290"/>
      <c r="AD18" s="269"/>
      <c r="AE18" s="270"/>
      <c r="AF18" s="273"/>
      <c r="AG18" s="274"/>
      <c r="AH18" s="260"/>
      <c r="AI18" s="261"/>
      <c r="AJ18" s="39"/>
      <c r="AK18" s="119">
        <f t="shared" ca="1" si="0"/>
        <v>1</v>
      </c>
      <c r="AL18" s="120"/>
    </row>
    <row r="19" spans="1:40" x14ac:dyDescent="0.25">
      <c r="A19" s="34"/>
      <c r="B19" s="225" t="s">
        <v>5</v>
      </c>
      <c r="C19" s="226"/>
      <c r="D19" s="229">
        <v>40</v>
      </c>
      <c r="E19" s="229"/>
      <c r="F19" s="231">
        <f t="shared" ref="F19" si="5">INT(D19/2)</f>
        <v>20</v>
      </c>
      <c r="G19" s="231"/>
      <c r="H19" s="232" t="s">
        <v>550</v>
      </c>
      <c r="I19" s="232"/>
      <c r="J19" s="234">
        <v>75</v>
      </c>
      <c r="K19" s="234"/>
      <c r="L19" s="236">
        <f t="shared" ref="L19" si="6">INT(J19/2)</f>
        <v>37</v>
      </c>
      <c r="M19" s="236"/>
      <c r="N19" s="251" t="str">
        <f>"八大属性合="&amp;SUM(D15:E20,J15:K20,P15:Q18)</f>
        <v>八大属性合=495</v>
      </c>
      <c r="O19" s="252"/>
      <c r="P19" s="252"/>
      <c r="Q19" s="252"/>
      <c r="R19" s="252"/>
      <c r="S19" s="253"/>
      <c r="T19" s="39"/>
      <c r="U19" s="39"/>
      <c r="V19" s="39"/>
      <c r="W19" s="39"/>
      <c r="X19" s="279" t="s">
        <v>5</v>
      </c>
      <c r="Y19" s="280"/>
      <c r="Z19" s="267">
        <f ca="1">SUM(AK27:AK28,6)*5</f>
        <v>70</v>
      </c>
      <c r="AA19" s="268"/>
      <c r="AB19" s="344" t="s">
        <v>550</v>
      </c>
      <c r="AC19" s="345"/>
      <c r="AD19" s="258">
        <f ca="1">SUM(AK29:AK30,6)*5</f>
        <v>55</v>
      </c>
      <c r="AE19" s="286"/>
      <c r="AF19" s="251" t="str">
        <f ca="1">"属性合="&amp;SUM(Z15:AA20,AD15:AE20,AH15:AI18)</f>
        <v>属性合=465</v>
      </c>
      <c r="AG19" s="252"/>
      <c r="AH19" s="252"/>
      <c r="AI19" s="253"/>
      <c r="AJ19" s="39"/>
      <c r="AK19" s="119">
        <f t="shared" ca="1" si="0"/>
        <v>6</v>
      </c>
      <c r="AL19" s="120"/>
    </row>
    <row r="20" spans="1:40" ht="15.6" thickBot="1" x14ac:dyDescent="0.3">
      <c r="A20" s="34"/>
      <c r="B20" s="227"/>
      <c r="C20" s="228"/>
      <c r="D20" s="230"/>
      <c r="E20" s="230"/>
      <c r="F20" s="237">
        <f t="shared" ref="F20" si="7">INT(D19/5)</f>
        <v>8</v>
      </c>
      <c r="G20" s="237"/>
      <c r="H20" s="233"/>
      <c r="I20" s="233"/>
      <c r="J20" s="235"/>
      <c r="K20" s="235"/>
      <c r="L20" s="265">
        <f t="shared" ref="L20" si="8">INT(J19/5)</f>
        <v>15</v>
      </c>
      <c r="M20" s="265"/>
      <c r="N20" s="254"/>
      <c r="O20" s="255"/>
      <c r="P20" s="255"/>
      <c r="Q20" s="255"/>
      <c r="R20" s="255"/>
      <c r="S20" s="256"/>
      <c r="T20" s="39"/>
      <c r="U20" s="39"/>
      <c r="V20" s="39"/>
      <c r="W20" s="39"/>
      <c r="X20" s="264"/>
      <c r="Y20" s="281"/>
      <c r="Z20" s="282"/>
      <c r="AA20" s="283"/>
      <c r="AB20" s="346"/>
      <c r="AC20" s="347"/>
      <c r="AD20" s="348"/>
      <c r="AE20" s="349"/>
      <c r="AF20" s="254"/>
      <c r="AG20" s="255"/>
      <c r="AH20" s="255"/>
      <c r="AI20" s="256"/>
      <c r="AJ20" s="39"/>
      <c r="AK20" s="119">
        <f t="shared" ca="1" si="0"/>
        <v>4</v>
      </c>
      <c r="AL20" s="120"/>
    </row>
    <row r="21" spans="1:40" s="40" customFormat="1" ht="15.6" x14ac:dyDescent="0.25">
      <c r="A21" s="34"/>
      <c r="B21" s="353" t="s">
        <v>580</v>
      </c>
      <c r="C21" s="353"/>
      <c r="D21" s="353"/>
      <c r="E21" s="353"/>
      <c r="F21" s="353"/>
      <c r="G21" s="353"/>
      <c r="H21" s="353"/>
      <c r="I21" s="353"/>
      <c r="J21" s="353"/>
      <c r="K21" s="353"/>
      <c r="L21" s="353"/>
      <c r="M21" s="353"/>
      <c r="N21" s="353"/>
      <c r="O21" s="353"/>
      <c r="P21" s="353"/>
      <c r="Q21" s="353"/>
      <c r="R21" s="353"/>
      <c r="S21" s="353"/>
      <c r="T21" s="353"/>
      <c r="U21" s="353"/>
      <c r="V21" s="353"/>
      <c r="W21" s="353"/>
      <c r="X21" s="353"/>
      <c r="Y21" s="353"/>
      <c r="Z21" s="353"/>
      <c r="AA21" s="353"/>
      <c r="AB21" s="353"/>
      <c r="AC21" s="353"/>
      <c r="AD21" s="353"/>
      <c r="AE21" s="353"/>
      <c r="AF21" s="353"/>
      <c r="AG21" s="353"/>
      <c r="AH21" s="353"/>
      <c r="AI21" s="353"/>
      <c r="AJ21" s="39"/>
      <c r="AK21" s="119">
        <f t="shared" ca="1" si="0"/>
        <v>2</v>
      </c>
      <c r="AL21" s="121"/>
    </row>
    <row r="22" spans="1:40" x14ac:dyDescent="0.25">
      <c r="A22" s="34"/>
      <c r="B22" s="124"/>
      <c r="C22" s="124"/>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124"/>
      <c r="AB22" s="124"/>
      <c r="AC22" s="124"/>
      <c r="AD22" s="124"/>
      <c r="AE22" s="124"/>
      <c r="AF22" s="124"/>
      <c r="AG22" s="124"/>
      <c r="AH22" s="124"/>
      <c r="AI22" s="124"/>
      <c r="AJ22" s="35"/>
      <c r="AK22" s="119">
        <f t="shared" ca="1" si="0"/>
        <v>5</v>
      </c>
      <c r="AL22" s="119"/>
      <c r="AM22" s="36"/>
      <c r="AN22" s="36"/>
    </row>
    <row r="23" spans="1:40" ht="16.2" thickBot="1" x14ac:dyDescent="0.3">
      <c r="A23" s="34"/>
      <c r="B23" s="124" t="s">
        <v>711</v>
      </c>
      <c r="C23" s="124"/>
      <c r="D23" s="124"/>
      <c r="E23" s="124"/>
      <c r="F23" s="124"/>
      <c r="G23" s="124"/>
      <c r="H23" s="124"/>
      <c r="I23" s="124"/>
      <c r="J23" s="124"/>
      <c r="K23" s="124"/>
      <c r="L23" s="124"/>
      <c r="M23" s="124"/>
      <c r="N23" s="124"/>
      <c r="O23" s="124"/>
      <c r="P23" s="124"/>
      <c r="Q23" s="124"/>
      <c r="R23" s="266" t="s">
        <v>605</v>
      </c>
      <c r="S23" s="266"/>
      <c r="T23" s="266"/>
      <c r="U23" s="266"/>
      <c r="V23" s="266"/>
      <c r="W23" s="266"/>
      <c r="X23" s="266"/>
      <c r="Y23" s="266"/>
      <c r="Z23" s="266"/>
      <c r="AA23" s="266" t="s">
        <v>606</v>
      </c>
      <c r="AB23" s="266"/>
      <c r="AC23" s="266"/>
      <c r="AD23" s="266"/>
      <c r="AE23" s="266"/>
      <c r="AF23" s="266"/>
      <c r="AG23" s="266"/>
      <c r="AH23" s="266"/>
      <c r="AI23" s="266"/>
      <c r="AJ23" s="39"/>
      <c r="AK23" s="119">
        <f t="shared" ca="1" si="0"/>
        <v>3</v>
      </c>
      <c r="AL23" s="120"/>
    </row>
    <row r="24" spans="1:40" x14ac:dyDescent="0.25">
      <c r="A24" s="34"/>
      <c r="B24" s="243" t="s">
        <v>330</v>
      </c>
      <c r="C24" s="244"/>
      <c r="D24" s="244"/>
      <c r="E24" s="244"/>
      <c r="F24" s="244"/>
      <c r="G24" s="244"/>
      <c r="H24" s="244"/>
      <c r="I24" s="244"/>
      <c r="J24" s="244"/>
      <c r="K24" s="244"/>
      <c r="L24" s="244"/>
      <c r="M24" s="244"/>
      <c r="N24" s="245"/>
      <c r="O24" s="317"/>
      <c r="P24" s="313"/>
      <c r="Q24" s="318"/>
      <c r="R24" s="132" t="s">
        <v>565</v>
      </c>
      <c r="S24" s="133"/>
      <c r="T24" s="133"/>
      <c r="U24" s="133"/>
      <c r="V24" s="133"/>
      <c r="W24" s="133"/>
      <c r="X24" s="133"/>
      <c r="Y24" s="133"/>
      <c r="Z24" s="133"/>
      <c r="AA24" s="133"/>
      <c r="AB24" s="133"/>
      <c r="AC24" s="133"/>
      <c r="AD24" s="133"/>
      <c r="AE24" s="133"/>
      <c r="AF24" s="133"/>
      <c r="AG24" s="133"/>
      <c r="AH24" s="133"/>
      <c r="AI24" s="134"/>
      <c r="AJ24" s="35"/>
      <c r="AK24" s="119">
        <f t="shared" ca="1" si="0"/>
        <v>1</v>
      </c>
      <c r="AL24" s="119"/>
      <c r="AM24" s="36"/>
      <c r="AN24" s="36"/>
    </row>
    <row r="25" spans="1:40" x14ac:dyDescent="0.25">
      <c r="A25" s="34"/>
      <c r="B25" s="238" t="s">
        <v>0</v>
      </c>
      <c r="C25" s="239"/>
      <c r="D25" s="240"/>
      <c r="E25" s="241"/>
      <c r="F25" s="241"/>
      <c r="G25" s="241"/>
      <c r="H25" s="241"/>
      <c r="I25" s="241"/>
      <c r="J25" s="241"/>
      <c r="K25" s="241"/>
      <c r="L25" s="241"/>
      <c r="M25" s="241"/>
      <c r="N25" s="242"/>
      <c r="O25" s="317"/>
      <c r="P25" s="313"/>
      <c r="Q25" s="318"/>
      <c r="R25" s="135" t="s">
        <v>563</v>
      </c>
      <c r="S25" s="136"/>
      <c r="T25" s="136"/>
      <c r="U25" s="136"/>
      <c r="V25" s="136"/>
      <c r="W25" s="136"/>
      <c r="X25" s="136"/>
      <c r="Y25" s="136"/>
      <c r="Z25" s="136"/>
      <c r="AA25" s="136"/>
      <c r="AB25" s="136"/>
      <c r="AC25" s="136"/>
      <c r="AD25" s="136"/>
      <c r="AE25" s="136"/>
      <c r="AF25" s="136"/>
      <c r="AG25" s="136"/>
      <c r="AH25" s="136"/>
      <c r="AI25" s="137"/>
      <c r="AJ25" s="35"/>
      <c r="AK25" s="119">
        <f t="shared" ca="1" si="0"/>
        <v>2</v>
      </c>
      <c r="AL25" s="119"/>
      <c r="AM25" s="36"/>
      <c r="AN25" s="36"/>
    </row>
    <row r="26" spans="1:40" x14ac:dyDescent="0.25">
      <c r="A26" s="34"/>
      <c r="B26" s="246" t="s">
        <v>1</v>
      </c>
      <c r="C26" s="247"/>
      <c r="D26" s="248" t="s">
        <v>727</v>
      </c>
      <c r="E26" s="249"/>
      <c r="F26" s="249"/>
      <c r="G26" s="249"/>
      <c r="H26" s="249"/>
      <c r="I26" s="249"/>
      <c r="J26" s="249"/>
      <c r="K26" s="249"/>
      <c r="L26" s="249"/>
      <c r="M26" s="249"/>
      <c r="N26" s="250"/>
      <c r="O26" s="317"/>
      <c r="P26" s="313"/>
      <c r="Q26" s="318"/>
      <c r="R26" s="138" t="s">
        <v>564</v>
      </c>
      <c r="S26" s="139"/>
      <c r="T26" s="139"/>
      <c r="U26" s="139"/>
      <c r="V26" s="139"/>
      <c r="W26" s="139"/>
      <c r="X26" s="139"/>
      <c r="Y26" s="139"/>
      <c r="Z26" s="139"/>
      <c r="AA26" s="139"/>
      <c r="AB26" s="139"/>
      <c r="AC26" s="139"/>
      <c r="AD26" s="139"/>
      <c r="AE26" s="139"/>
      <c r="AF26" s="139"/>
      <c r="AG26" s="139"/>
      <c r="AH26" s="139"/>
      <c r="AI26" s="140"/>
      <c r="AJ26" s="35"/>
      <c r="AK26" s="119">
        <f t="shared" ca="1" si="0"/>
        <v>1</v>
      </c>
      <c r="AL26" s="119"/>
      <c r="AM26" s="36"/>
      <c r="AN26" s="36"/>
    </row>
    <row r="27" spans="1:40" x14ac:dyDescent="0.25">
      <c r="A27" s="34"/>
      <c r="B27" s="238" t="s">
        <v>2</v>
      </c>
      <c r="C27" s="239"/>
      <c r="D27" s="240" t="s">
        <v>728</v>
      </c>
      <c r="E27" s="241"/>
      <c r="F27" s="241"/>
      <c r="G27" s="241"/>
      <c r="H27" s="241"/>
      <c r="I27" s="241"/>
      <c r="J27" s="241"/>
      <c r="K27" s="241"/>
      <c r="L27" s="241"/>
      <c r="M27" s="241"/>
      <c r="N27" s="242"/>
      <c r="O27" s="317"/>
      <c r="P27" s="313"/>
      <c r="Q27" s="318"/>
      <c r="R27" s="135" t="s">
        <v>566</v>
      </c>
      <c r="S27" s="136"/>
      <c r="T27" s="136"/>
      <c r="U27" s="136"/>
      <c r="V27" s="136"/>
      <c r="W27" s="136"/>
      <c r="X27" s="136"/>
      <c r="Y27" s="136"/>
      <c r="Z27" s="136"/>
      <c r="AA27" s="136"/>
      <c r="AB27" s="136"/>
      <c r="AC27" s="136"/>
      <c r="AD27" s="136"/>
      <c r="AE27" s="136"/>
      <c r="AF27" s="136"/>
      <c r="AG27" s="136"/>
      <c r="AH27" s="136"/>
      <c r="AI27" s="137"/>
      <c r="AJ27" s="35"/>
      <c r="AK27" s="119">
        <f t="shared" ca="1" si="0"/>
        <v>2</v>
      </c>
      <c r="AL27" s="119"/>
      <c r="AM27" s="36"/>
      <c r="AN27" s="36"/>
    </row>
    <row r="28" spans="1:40" x14ac:dyDescent="0.25">
      <c r="A28" s="34"/>
      <c r="B28" s="246" t="s">
        <v>3</v>
      </c>
      <c r="C28" s="247"/>
      <c r="D28" s="325">
        <v>27</v>
      </c>
      <c r="E28" s="326"/>
      <c r="F28" s="326"/>
      <c r="G28" s="326"/>
      <c r="H28" s="327"/>
      <c r="I28" s="328" t="s">
        <v>4</v>
      </c>
      <c r="J28" s="247"/>
      <c r="K28" s="249" t="s">
        <v>729</v>
      </c>
      <c r="L28" s="249"/>
      <c r="M28" s="249"/>
      <c r="N28" s="250"/>
      <c r="O28" s="317"/>
      <c r="P28" s="313"/>
      <c r="Q28" s="318"/>
      <c r="R28" s="138" t="s">
        <v>567</v>
      </c>
      <c r="S28" s="139"/>
      <c r="T28" s="139"/>
      <c r="U28" s="139"/>
      <c r="V28" s="139"/>
      <c r="W28" s="139"/>
      <c r="X28" s="139"/>
      <c r="Y28" s="139"/>
      <c r="Z28" s="139"/>
      <c r="AA28" s="139"/>
      <c r="AB28" s="139"/>
      <c r="AC28" s="139"/>
      <c r="AD28" s="139"/>
      <c r="AE28" s="139"/>
      <c r="AF28" s="139"/>
      <c r="AG28" s="139"/>
      <c r="AH28" s="139"/>
      <c r="AI28" s="140"/>
      <c r="AJ28" s="35"/>
      <c r="AK28" s="119">
        <f t="shared" ca="1" si="0"/>
        <v>6</v>
      </c>
      <c r="AL28" s="119"/>
      <c r="AM28" s="36"/>
      <c r="AN28" s="36"/>
    </row>
    <row r="29" spans="1:40" x14ac:dyDescent="0.25">
      <c r="A29" s="34"/>
      <c r="B29" s="238" t="s">
        <v>287</v>
      </c>
      <c r="C29" s="239"/>
      <c r="D29" s="240"/>
      <c r="E29" s="241"/>
      <c r="F29" s="241"/>
      <c r="G29" s="241"/>
      <c r="H29" s="241"/>
      <c r="I29" s="241"/>
      <c r="J29" s="241"/>
      <c r="K29" s="241"/>
      <c r="L29" s="241"/>
      <c r="M29" s="241"/>
      <c r="N29" s="242"/>
      <c r="O29" s="317"/>
      <c r="P29" s="313"/>
      <c r="Q29" s="318"/>
      <c r="R29" s="135" t="s">
        <v>568</v>
      </c>
      <c r="S29" s="136"/>
      <c r="T29" s="136"/>
      <c r="U29" s="136"/>
      <c r="V29" s="136"/>
      <c r="W29" s="136"/>
      <c r="X29" s="136"/>
      <c r="Y29" s="136"/>
      <c r="Z29" s="136"/>
      <c r="AA29" s="136"/>
      <c r="AB29" s="136"/>
      <c r="AC29" s="136"/>
      <c r="AD29" s="136"/>
      <c r="AE29" s="136"/>
      <c r="AF29" s="136"/>
      <c r="AG29" s="136"/>
      <c r="AH29" s="136"/>
      <c r="AI29" s="137"/>
      <c r="AJ29" s="35"/>
      <c r="AK29" s="119">
        <f t="shared" ca="1" si="0"/>
        <v>1</v>
      </c>
      <c r="AL29" s="119"/>
      <c r="AM29" s="36"/>
      <c r="AN29" s="36"/>
    </row>
    <row r="30" spans="1:40" ht="15.6" thickBot="1" x14ac:dyDescent="0.3">
      <c r="A30" s="34"/>
      <c r="B30" s="335" t="s">
        <v>559</v>
      </c>
      <c r="C30" s="336"/>
      <c r="D30" s="337"/>
      <c r="E30" s="338"/>
      <c r="F30" s="338"/>
      <c r="G30" s="338"/>
      <c r="H30" s="338"/>
      <c r="I30" s="338"/>
      <c r="J30" s="338"/>
      <c r="K30" s="338"/>
      <c r="L30" s="338"/>
      <c r="M30" s="338"/>
      <c r="N30" s="339"/>
      <c r="O30" s="317"/>
      <c r="P30" s="313"/>
      <c r="Q30" s="318"/>
      <c r="R30" s="141" t="s">
        <v>569</v>
      </c>
      <c r="S30" s="142"/>
      <c r="T30" s="142"/>
      <c r="U30" s="142"/>
      <c r="V30" s="142"/>
      <c r="W30" s="142"/>
      <c r="X30" s="142"/>
      <c r="Y30" s="142"/>
      <c r="Z30" s="142"/>
      <c r="AA30" s="142"/>
      <c r="AB30" s="142"/>
      <c r="AC30" s="142"/>
      <c r="AD30" s="142"/>
      <c r="AE30" s="142"/>
      <c r="AF30" s="142"/>
      <c r="AG30" s="142"/>
      <c r="AH30" s="142"/>
      <c r="AI30" s="143"/>
      <c r="AJ30" s="35"/>
      <c r="AK30" s="119">
        <f t="shared" ca="1" si="0"/>
        <v>4</v>
      </c>
      <c r="AL30" s="119"/>
      <c r="AM30" s="36"/>
      <c r="AN30" s="36"/>
    </row>
    <row r="31" spans="1:40" x14ac:dyDescent="0.25">
      <c r="A31" s="34"/>
      <c r="B31" s="124"/>
      <c r="C31" s="124"/>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35"/>
      <c r="AK31" s="119">
        <f t="shared" ca="1" si="0"/>
        <v>6</v>
      </c>
      <c r="AL31" s="119"/>
      <c r="AM31" s="36"/>
      <c r="AN31" s="36"/>
    </row>
    <row r="32" spans="1:40" ht="15.6" thickBot="1" x14ac:dyDescent="0.3">
      <c r="A32" s="34"/>
      <c r="B32" s="124" t="s">
        <v>581</v>
      </c>
      <c r="C32" s="124"/>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124"/>
      <c r="AB32" s="124"/>
      <c r="AC32" s="124"/>
      <c r="AD32" s="124"/>
      <c r="AE32" s="124"/>
      <c r="AF32" s="124"/>
      <c r="AG32" s="124"/>
      <c r="AH32" s="124"/>
      <c r="AI32" s="124"/>
      <c r="AJ32" s="35"/>
      <c r="AK32" s="119">
        <f t="shared" ca="1" si="0"/>
        <v>6</v>
      </c>
      <c r="AL32" s="119"/>
      <c r="AM32" s="36"/>
      <c r="AN32" s="36"/>
    </row>
    <row r="33" spans="1:40" ht="16.5" customHeight="1" x14ac:dyDescent="0.25">
      <c r="A33" s="34"/>
      <c r="B33" s="340" t="s">
        <v>570</v>
      </c>
      <c r="C33" s="341"/>
      <c r="D33" s="321">
        <v>70</v>
      </c>
      <c r="E33" s="322"/>
      <c r="F33" s="35"/>
      <c r="G33" s="155">
        <f ca="1">SUM(G35:I35)*5</f>
        <v>75</v>
      </c>
      <c r="H33" s="155"/>
      <c r="I33" s="117"/>
      <c r="J33" s="117"/>
      <c r="K33" s="117"/>
      <c r="L33" s="39"/>
      <c r="M33" s="39"/>
      <c r="N33" s="262" t="s">
        <v>613</v>
      </c>
      <c r="O33" s="263"/>
      <c r="P33" s="263"/>
      <c r="Q33" s="263"/>
      <c r="R33" s="144" t="s">
        <v>572</v>
      </c>
      <c r="S33" s="144"/>
      <c r="T33" s="144"/>
      <c r="U33" s="146" t="s">
        <v>573</v>
      </c>
      <c r="V33" s="146"/>
      <c r="W33" s="146"/>
      <c r="X33" s="144" t="s">
        <v>575</v>
      </c>
      <c r="Y33" s="144"/>
      <c r="Z33" s="144"/>
      <c r="AA33" s="146" t="s">
        <v>574</v>
      </c>
      <c r="AB33" s="146"/>
      <c r="AC33" s="146"/>
      <c r="AD33" s="144" t="s">
        <v>543</v>
      </c>
      <c r="AE33" s="144"/>
      <c r="AF33" s="144"/>
      <c r="AG33" s="146" t="s">
        <v>547</v>
      </c>
      <c r="AH33" s="146"/>
      <c r="AI33" s="275"/>
      <c r="AJ33" s="35"/>
      <c r="AK33" s="36"/>
    </row>
    <row r="34" spans="1:40" ht="15.6" thickBot="1" x14ac:dyDescent="0.3">
      <c r="A34" s="34"/>
      <c r="B34" s="227"/>
      <c r="C34" s="228"/>
      <c r="D34" s="323"/>
      <c r="E34" s="324"/>
      <c r="F34" s="35"/>
      <c r="G34" s="117"/>
      <c r="H34" s="117"/>
      <c r="I34" s="117"/>
      <c r="J34" s="117"/>
      <c r="K34" s="117"/>
      <c r="L34" s="39"/>
      <c r="M34" s="39"/>
      <c r="N34" s="264"/>
      <c r="O34" s="255"/>
      <c r="P34" s="255"/>
      <c r="Q34" s="255"/>
      <c r="R34" s="145">
        <f>LOOKUP(STR+SIZ,附表!A2:A32,附表!B2:B32)</f>
        <v>0</v>
      </c>
      <c r="S34" s="145"/>
      <c r="T34" s="145"/>
      <c r="U34" s="276">
        <f>LOOKUP(STR+SIZ,附表!A2:A32,附表!C2:C32)</f>
        <v>0</v>
      </c>
      <c r="V34" s="276"/>
      <c r="W34" s="276"/>
      <c r="X34" s="145">
        <f>IF(ISBLANK(D28),"错误",MOV_main-LOOKUP(Age,附表!E2:E7,附表!F2:F7))</f>
        <v>9</v>
      </c>
      <c r="Y34" s="145"/>
      <c r="Z34" s="145"/>
      <c r="AA34" s="276">
        <f>INT((CON+SIZ)/10)</f>
        <v>9</v>
      </c>
      <c r="AB34" s="276"/>
      <c r="AC34" s="276"/>
      <c r="AD34" s="277">
        <f>P17</f>
        <v>55</v>
      </c>
      <c r="AE34" s="145"/>
      <c r="AF34" s="145"/>
      <c r="AG34" s="276">
        <f>INT(POW/5)</f>
        <v>11</v>
      </c>
      <c r="AH34" s="276"/>
      <c r="AI34" s="278"/>
      <c r="AJ34" s="35"/>
      <c r="AK34" s="36"/>
      <c r="AL34" s="36"/>
      <c r="AM34" s="36"/>
      <c r="AN34" s="36"/>
    </row>
    <row r="35" spans="1:40" x14ac:dyDescent="0.25">
      <c r="A35" s="34"/>
      <c r="B35" s="124"/>
      <c r="C35" s="124"/>
      <c r="D35" s="124"/>
      <c r="E35" s="124"/>
      <c r="F35" s="124"/>
      <c r="G35" s="91">
        <f ca="1">RANDBETWEEN(1,6)</f>
        <v>6</v>
      </c>
      <c r="H35" s="91">
        <f ca="1">RANDBETWEEN(1,6)</f>
        <v>3</v>
      </c>
      <c r="I35" s="91">
        <f ca="1">RANDBETWEEN(1,6)</f>
        <v>6</v>
      </c>
      <c r="J35" s="352"/>
      <c r="K35" s="352"/>
      <c r="L35" s="352"/>
      <c r="M35" s="352"/>
      <c r="N35" s="352"/>
      <c r="O35" s="352"/>
      <c r="P35" s="352"/>
      <c r="Q35" s="352"/>
      <c r="R35" s="352"/>
      <c r="S35" s="352"/>
      <c r="T35" s="352"/>
      <c r="U35" s="352"/>
      <c r="V35" s="352"/>
      <c r="W35" s="352"/>
      <c r="X35" s="352"/>
      <c r="Y35" s="352"/>
      <c r="Z35" s="352"/>
      <c r="AA35" s="352"/>
      <c r="AB35" s="352"/>
      <c r="AC35" s="352"/>
      <c r="AD35" s="352"/>
      <c r="AE35" s="352"/>
      <c r="AF35" s="352"/>
      <c r="AG35" s="352"/>
      <c r="AH35" s="352"/>
      <c r="AI35" s="352"/>
      <c r="AJ35" s="35"/>
      <c r="AK35" s="36"/>
      <c r="AL35" s="36"/>
      <c r="AM35" s="36"/>
      <c r="AN35" s="36"/>
    </row>
    <row r="36" spans="1:40" ht="27.6" x14ac:dyDescent="0.25">
      <c r="A36" s="34"/>
      <c r="B36" s="296" t="s">
        <v>561</v>
      </c>
      <c r="C36" s="296"/>
      <c r="D36" s="296"/>
      <c r="E36" s="296"/>
      <c r="F36" s="296"/>
      <c r="G36" s="296"/>
      <c r="H36" s="296"/>
      <c r="I36" s="296"/>
      <c r="J36" s="296"/>
      <c r="K36" s="296"/>
      <c r="L36" s="124"/>
      <c r="M36" s="124"/>
      <c r="N36" s="124"/>
      <c r="O36" s="124"/>
      <c r="P36" s="124"/>
      <c r="Q36" s="124"/>
      <c r="R36" s="124"/>
      <c r="S36" s="124"/>
      <c r="T36" s="124"/>
      <c r="U36" s="124"/>
      <c r="V36" s="124"/>
      <c r="W36" s="124"/>
      <c r="X36" s="124"/>
      <c r="Y36" s="124"/>
      <c r="Z36" s="124"/>
      <c r="AA36" s="124"/>
      <c r="AB36" s="124"/>
      <c r="AC36" s="124"/>
      <c r="AD36" s="124"/>
      <c r="AE36" s="124"/>
      <c r="AF36" s="124"/>
      <c r="AG36" s="124"/>
      <c r="AH36" s="124"/>
      <c r="AI36" s="124"/>
      <c r="AJ36" s="35"/>
      <c r="AK36" s="36"/>
      <c r="AL36" s="36"/>
      <c r="AM36" s="36"/>
      <c r="AN36" s="36"/>
    </row>
    <row r="37" spans="1:40" ht="15.6" thickBot="1" x14ac:dyDescent="0.3">
      <c r="A37" s="34"/>
      <c r="B37" s="297" t="s">
        <v>587</v>
      </c>
      <c r="C37" s="297"/>
      <c r="D37" s="297"/>
      <c r="E37" s="297"/>
      <c r="F37" s="334" t="s">
        <v>578</v>
      </c>
      <c r="G37" s="334"/>
      <c r="H37" s="334"/>
      <c r="I37" s="334"/>
      <c r="J37" s="334"/>
      <c r="K37" s="334"/>
      <c r="L37" s="334"/>
      <c r="M37" s="334"/>
      <c r="N37" s="334"/>
      <c r="O37" s="334"/>
      <c r="P37" s="334"/>
      <c r="Q37" s="334"/>
      <c r="R37" s="334"/>
      <c r="S37" s="334"/>
      <c r="T37" s="334"/>
      <c r="U37" s="334"/>
      <c r="V37" s="334"/>
      <c r="W37" s="334"/>
      <c r="X37" s="334"/>
      <c r="Y37" s="334"/>
      <c r="Z37" s="334"/>
      <c r="AA37" s="334"/>
      <c r="AB37" s="334"/>
      <c r="AC37" s="334"/>
      <c r="AD37" s="334"/>
      <c r="AE37" s="334"/>
      <c r="AF37" s="334"/>
      <c r="AG37" s="334"/>
      <c r="AH37" s="334"/>
      <c r="AI37" s="334"/>
      <c r="AJ37" s="35"/>
      <c r="AK37" s="36"/>
      <c r="AL37" s="36"/>
      <c r="AM37" s="36"/>
      <c r="AN37" s="36"/>
    </row>
    <row r="38" spans="1:40" x14ac:dyDescent="0.25">
      <c r="A38" s="34"/>
      <c r="B38" s="298" t="s">
        <v>562</v>
      </c>
      <c r="C38" s="299"/>
      <c r="D38" s="299"/>
      <c r="E38" s="125">
        <v>104</v>
      </c>
      <c r="F38" s="126"/>
      <c r="G38" s="319"/>
      <c r="H38" s="124"/>
      <c r="I38" s="320"/>
      <c r="J38" s="298" t="str">
        <f>"选择的职业模板："&amp;LOOKUP(OccNo,职业列表!A2:A116,职业列表!B2:B116)</f>
        <v>选择的职业模板：间谍</v>
      </c>
      <c r="K38" s="299"/>
      <c r="L38" s="299"/>
      <c r="M38" s="299"/>
      <c r="N38" s="299"/>
      <c r="O38" s="299"/>
      <c r="P38" s="299"/>
      <c r="Q38" s="299"/>
      <c r="R38" s="301"/>
      <c r="S38" s="319"/>
      <c r="T38" s="124"/>
      <c r="U38" s="124"/>
      <c r="V38" s="124"/>
      <c r="W38" s="124"/>
      <c r="X38" s="124"/>
      <c r="Y38" s="124"/>
      <c r="Z38" s="124"/>
      <c r="AA38" s="124"/>
      <c r="AB38" s="124"/>
      <c r="AC38" s="124"/>
      <c r="AD38" s="124"/>
      <c r="AE38" s="124"/>
      <c r="AF38" s="124"/>
      <c r="AG38" s="124"/>
      <c r="AH38" s="124"/>
      <c r="AI38" s="124"/>
      <c r="AJ38" s="39"/>
    </row>
    <row r="39" spans="1:40" ht="15.6" thickBot="1" x14ac:dyDescent="0.3">
      <c r="A39" s="34"/>
      <c r="B39" s="300"/>
      <c r="C39" s="276"/>
      <c r="D39" s="276"/>
      <c r="E39" s="127"/>
      <c r="F39" s="128"/>
      <c r="G39" s="319"/>
      <c r="H39" s="124"/>
      <c r="I39" s="320"/>
      <c r="J39" s="300"/>
      <c r="K39" s="276"/>
      <c r="L39" s="276"/>
      <c r="M39" s="276"/>
      <c r="N39" s="276"/>
      <c r="O39" s="276"/>
      <c r="P39" s="276"/>
      <c r="Q39" s="276"/>
      <c r="R39" s="278"/>
      <c r="S39" s="319"/>
      <c r="T39" s="124"/>
      <c r="U39" s="124"/>
      <c r="V39" s="124"/>
      <c r="W39" s="124"/>
      <c r="X39" s="124"/>
      <c r="Y39" s="124"/>
      <c r="Z39" s="124"/>
      <c r="AA39" s="124"/>
      <c r="AB39" s="124"/>
      <c r="AC39" s="124"/>
      <c r="AD39" s="124"/>
      <c r="AE39" s="124"/>
      <c r="AF39" s="124"/>
      <c r="AG39" s="124"/>
      <c r="AH39" s="124"/>
      <c r="AI39" s="124"/>
      <c r="AJ39" s="39"/>
    </row>
    <row r="40" spans="1:40" x14ac:dyDescent="0.25">
      <c r="A40" s="34"/>
      <c r="B40" s="313"/>
      <c r="C40" s="313"/>
      <c r="D40" s="313"/>
      <c r="E40" s="313"/>
      <c r="F40" s="313"/>
      <c r="G40" s="313"/>
      <c r="H40" s="313"/>
      <c r="I40" s="313"/>
      <c r="J40" s="313"/>
      <c r="K40" s="313"/>
      <c r="L40" s="313"/>
      <c r="M40" s="313"/>
      <c r="N40" s="313"/>
      <c r="O40" s="313"/>
      <c r="P40" s="313"/>
      <c r="Q40" s="313"/>
      <c r="R40" s="313"/>
      <c r="S40" s="313"/>
      <c r="T40" s="313"/>
      <c r="U40" s="313"/>
      <c r="V40" s="313"/>
      <c r="W40" s="313"/>
      <c r="X40" s="313"/>
      <c r="Y40" s="313"/>
      <c r="Z40" s="313"/>
      <c r="AA40" s="313"/>
      <c r="AB40" s="313"/>
      <c r="AC40" s="313"/>
      <c r="AD40" s="313"/>
      <c r="AE40" s="313"/>
      <c r="AF40" s="313"/>
      <c r="AG40" s="313"/>
      <c r="AH40" s="313"/>
      <c r="AI40" s="313"/>
      <c r="AJ40" s="39"/>
    </row>
    <row r="41" spans="1:40" ht="27.6" x14ac:dyDescent="0.25">
      <c r="A41" s="34"/>
      <c r="B41" s="296" t="s">
        <v>560</v>
      </c>
      <c r="C41" s="296"/>
      <c r="D41" s="296"/>
      <c r="E41" s="296"/>
      <c r="F41" s="296"/>
      <c r="G41" s="296"/>
      <c r="H41" s="296"/>
      <c r="I41" s="296"/>
      <c r="J41" s="296"/>
      <c r="K41" s="296"/>
      <c r="L41" s="124"/>
      <c r="M41" s="124"/>
      <c r="N41" s="124"/>
      <c r="O41" s="124"/>
      <c r="P41" s="124"/>
      <c r="Q41" s="124"/>
      <c r="R41" s="124"/>
      <c r="S41" s="124"/>
      <c r="T41" s="124"/>
      <c r="U41" s="124"/>
      <c r="V41" s="124"/>
      <c r="W41" s="124"/>
      <c r="X41" s="124"/>
      <c r="Y41" s="124"/>
      <c r="Z41" s="124"/>
      <c r="AA41" s="124"/>
      <c r="AB41" s="124"/>
      <c r="AC41" s="124"/>
      <c r="AD41" s="124"/>
      <c r="AE41" s="124"/>
      <c r="AF41" s="124"/>
      <c r="AG41" s="124"/>
      <c r="AH41" s="124"/>
      <c r="AI41" s="124"/>
      <c r="AJ41" s="35"/>
      <c r="AK41" s="36"/>
      <c r="AL41" s="36"/>
      <c r="AM41" s="36"/>
      <c r="AN41" s="36"/>
    </row>
    <row r="42" spans="1:40" x14ac:dyDescent="0.25">
      <c r="A42" s="34"/>
      <c r="B42" s="305" t="str">
        <f>"["&amp;LOOKUP(E38,职业列表!A2:A116,职业列表!B2:B116)&amp;"]的本职技能包括："&amp;LOOKUP(E38,职业列表!A2:A116,职业列表!F2:F116)</f>
        <v>[间谍]的本职技能包括：技艺（表演）或乔装，射击，聆听，外语，一项社交技能（魅惑、话术、恐吓、说服），心理学，妙手，潜行。</v>
      </c>
      <c r="C42" s="305"/>
      <c r="D42" s="305"/>
      <c r="E42" s="305"/>
      <c r="F42" s="305"/>
      <c r="G42" s="305"/>
      <c r="H42" s="305"/>
      <c r="I42" s="305"/>
      <c r="J42" s="305"/>
      <c r="K42" s="305"/>
      <c r="L42" s="305"/>
      <c r="M42" s="305"/>
      <c r="N42" s="305"/>
      <c r="O42" s="305"/>
      <c r="P42" s="305"/>
      <c r="Q42" s="305"/>
      <c r="R42" s="305"/>
      <c r="S42" s="305"/>
      <c r="T42" s="305"/>
      <c r="U42" s="305"/>
      <c r="V42" s="305"/>
      <c r="W42" s="305"/>
      <c r="X42" s="305"/>
      <c r="Y42" s="305"/>
      <c r="Z42" s="305"/>
      <c r="AA42" s="305"/>
      <c r="AB42" s="305"/>
      <c r="AC42" s="305"/>
      <c r="AD42" s="305"/>
      <c r="AE42" s="305"/>
      <c r="AF42" s="305"/>
      <c r="AG42" s="305"/>
      <c r="AH42" s="305"/>
      <c r="AI42" s="305"/>
      <c r="AJ42" s="35"/>
      <c r="AK42" s="36"/>
      <c r="AL42" s="36"/>
      <c r="AM42" s="36"/>
      <c r="AN42" s="36"/>
    </row>
    <row r="43" spans="1:40" x14ac:dyDescent="0.25">
      <c r="A43" s="34"/>
      <c r="B43" s="305"/>
      <c r="C43" s="305"/>
      <c r="D43" s="305"/>
      <c r="E43" s="305"/>
      <c r="F43" s="305"/>
      <c r="G43" s="305"/>
      <c r="H43" s="305"/>
      <c r="I43" s="305"/>
      <c r="J43" s="305"/>
      <c r="K43" s="305"/>
      <c r="L43" s="305"/>
      <c r="M43" s="305"/>
      <c r="N43" s="305"/>
      <c r="O43" s="305"/>
      <c r="P43" s="305"/>
      <c r="Q43" s="305"/>
      <c r="R43" s="305"/>
      <c r="S43" s="305"/>
      <c r="T43" s="305"/>
      <c r="U43" s="305"/>
      <c r="V43" s="305"/>
      <c r="W43" s="305"/>
      <c r="X43" s="305"/>
      <c r="Y43" s="305"/>
      <c r="Z43" s="305"/>
      <c r="AA43" s="305"/>
      <c r="AB43" s="305"/>
      <c r="AC43" s="305"/>
      <c r="AD43" s="305"/>
      <c r="AE43" s="305"/>
      <c r="AF43" s="305"/>
      <c r="AG43" s="305"/>
      <c r="AH43" s="305"/>
      <c r="AI43" s="305"/>
      <c r="AJ43" s="35"/>
      <c r="AK43" s="36"/>
      <c r="AL43" s="36"/>
      <c r="AM43" s="36"/>
      <c r="AN43" s="36"/>
    </row>
    <row r="44" spans="1:40" x14ac:dyDescent="0.25">
      <c r="A44" s="34"/>
      <c r="B44" s="124" t="str">
        <f>"将"&amp;LOOKUP(OccNo,职业列表!A2:A116,职业列表!E2:E116)&amp;"点本职技能点数分配给本职技能和信用评级，再将"&amp;INT*2&amp;"点兴趣技能点数分配给任意技能。点数计算器在下表的右下角。"</f>
        <v>将300点本职技能点数分配给本职技能和信用评级，再将150点兴趣技能点数分配给任意技能。点数计算器在下表的右下角。</v>
      </c>
      <c r="C44" s="124"/>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4"/>
      <c r="AB44" s="124"/>
      <c r="AC44" s="124"/>
      <c r="AD44" s="124"/>
      <c r="AE44" s="124"/>
      <c r="AF44" s="124"/>
      <c r="AG44" s="124"/>
      <c r="AH44" s="124"/>
      <c r="AI44" s="124"/>
      <c r="AJ44" s="35"/>
      <c r="AK44" s="36"/>
      <c r="AL44" s="36"/>
      <c r="AM44" s="36"/>
      <c r="AN44" s="36"/>
    </row>
    <row r="45" spans="1:40" ht="15.6" thickBot="1" x14ac:dyDescent="0.3">
      <c r="A45" s="34"/>
      <c r="B45" s="266" t="str">
        <f>"["&amp;LOOKUP(E38,职业列表!A2:A116,职业列表!B2:B116)&amp;"]的职业信用范围："&amp;LOOKUP(E38,职业列表!A2:A116,职业列表!C2:C116)&amp;"，请使用本职技能点将信用评级加至这个区间。"</f>
        <v>[间谍]的职业信用范围：20-60，请使用本职技能点将信用评级加至这个区间。</v>
      </c>
      <c r="C45" s="266"/>
      <c r="D45" s="266"/>
      <c r="E45" s="266"/>
      <c r="F45" s="266"/>
      <c r="G45" s="266"/>
      <c r="H45" s="266"/>
      <c r="I45" s="266"/>
      <c r="J45" s="266"/>
      <c r="K45" s="266"/>
      <c r="L45" s="266"/>
      <c r="M45" s="266"/>
      <c r="N45" s="266"/>
      <c r="O45" s="266"/>
      <c r="P45" s="266"/>
      <c r="Q45" s="266"/>
      <c r="R45" s="266"/>
      <c r="S45" s="266"/>
      <c r="T45" s="266"/>
      <c r="U45" s="266"/>
      <c r="V45" s="266"/>
      <c r="W45" s="266"/>
      <c r="X45" s="266"/>
      <c r="Y45" s="266"/>
      <c r="Z45" s="266"/>
      <c r="AA45" s="266"/>
      <c r="AB45" s="266"/>
      <c r="AC45" s="266"/>
      <c r="AD45" s="266"/>
      <c r="AE45" s="266"/>
      <c r="AF45" s="266"/>
      <c r="AG45" s="266"/>
      <c r="AH45" s="266"/>
      <c r="AI45" s="266"/>
      <c r="AJ45" s="39"/>
    </row>
    <row r="46" spans="1:40" x14ac:dyDescent="0.25">
      <c r="A46" s="34"/>
      <c r="B46" s="329" t="s">
        <v>12</v>
      </c>
      <c r="C46" s="330"/>
      <c r="D46" s="330"/>
      <c r="E46" s="330"/>
      <c r="F46" s="330"/>
      <c r="G46" s="330"/>
      <c r="H46" s="330"/>
      <c r="I46" s="330"/>
      <c r="J46" s="330"/>
      <c r="K46" s="330"/>
      <c r="L46" s="330"/>
      <c r="M46" s="330"/>
      <c r="N46" s="330"/>
      <c r="O46" s="330"/>
      <c r="P46" s="330"/>
      <c r="Q46" s="330"/>
      <c r="R46" s="330"/>
      <c r="S46" s="330"/>
      <c r="T46" s="330"/>
      <c r="U46" s="330"/>
      <c r="V46" s="330"/>
      <c r="W46" s="330"/>
      <c r="X46" s="330"/>
      <c r="Y46" s="330"/>
      <c r="Z46" s="330"/>
      <c r="AA46" s="330"/>
      <c r="AB46" s="330"/>
      <c r="AC46" s="330"/>
      <c r="AD46" s="330"/>
      <c r="AE46" s="330"/>
      <c r="AF46" s="330"/>
      <c r="AG46" s="330"/>
      <c r="AH46" s="330"/>
      <c r="AI46" s="331"/>
      <c r="AJ46" s="39"/>
    </row>
    <row r="47" spans="1:40" x14ac:dyDescent="0.25">
      <c r="A47" s="34"/>
      <c r="B47" s="306" t="s">
        <v>359</v>
      </c>
      <c r="C47" s="307"/>
      <c r="D47" s="307"/>
      <c r="E47" s="307"/>
      <c r="F47" s="308"/>
      <c r="G47" s="309" t="s">
        <v>6</v>
      </c>
      <c r="H47" s="309"/>
      <c r="I47" s="309" t="s">
        <v>2</v>
      </c>
      <c r="J47" s="309"/>
      <c r="K47" s="309" t="s">
        <v>7</v>
      </c>
      <c r="L47" s="309"/>
      <c r="M47" s="309" t="s">
        <v>8</v>
      </c>
      <c r="N47" s="309"/>
      <c r="O47" s="309"/>
      <c r="P47" s="309"/>
      <c r="Q47" s="309"/>
      <c r="R47" s="332"/>
      <c r="S47" s="307" t="s">
        <v>359</v>
      </c>
      <c r="T47" s="307"/>
      <c r="U47" s="307"/>
      <c r="V47" s="307"/>
      <c r="W47" s="308"/>
      <c r="X47" s="309" t="s">
        <v>6</v>
      </c>
      <c r="Y47" s="309"/>
      <c r="Z47" s="309" t="s">
        <v>2</v>
      </c>
      <c r="AA47" s="309"/>
      <c r="AB47" s="309" t="s">
        <v>7</v>
      </c>
      <c r="AC47" s="309"/>
      <c r="AD47" s="309" t="s">
        <v>8</v>
      </c>
      <c r="AE47" s="309"/>
      <c r="AF47" s="309"/>
      <c r="AG47" s="309"/>
      <c r="AH47" s="309"/>
      <c r="AI47" s="333"/>
      <c r="AJ47" s="39"/>
    </row>
    <row r="48" spans="1:40" x14ac:dyDescent="0.25">
      <c r="A48" s="34"/>
      <c r="B48" s="181" t="s">
        <v>402</v>
      </c>
      <c r="C48" s="182"/>
      <c r="D48" s="182"/>
      <c r="E48" s="182"/>
      <c r="F48" s="182"/>
      <c r="G48" s="183">
        <v>5</v>
      </c>
      <c r="H48" s="183"/>
      <c r="I48" s="148"/>
      <c r="J48" s="148"/>
      <c r="K48" s="148"/>
      <c r="L48" s="148"/>
      <c r="M48" s="153">
        <f>SUM(G48:L48)</f>
        <v>5</v>
      </c>
      <c r="N48" s="153"/>
      <c r="O48" s="153">
        <f>INT(M48/2)</f>
        <v>2</v>
      </c>
      <c r="P48" s="153"/>
      <c r="Q48" s="153">
        <f>INT(M48/5)</f>
        <v>1</v>
      </c>
      <c r="R48" s="154"/>
      <c r="S48" s="184" t="s">
        <v>9</v>
      </c>
      <c r="T48" s="184"/>
      <c r="U48" s="184"/>
      <c r="V48" s="184"/>
      <c r="W48" s="184"/>
      <c r="X48" s="183">
        <v>5</v>
      </c>
      <c r="Y48" s="183"/>
      <c r="Z48" s="148"/>
      <c r="AA48" s="148"/>
      <c r="AB48" s="148"/>
      <c r="AC48" s="148"/>
      <c r="AD48" s="153">
        <f t="shared" ref="AD48:AD78" si="9">SUM(X48:AC48)</f>
        <v>5</v>
      </c>
      <c r="AE48" s="153"/>
      <c r="AF48" s="153">
        <f>INT(AD48/2)</f>
        <v>2</v>
      </c>
      <c r="AG48" s="153"/>
      <c r="AH48" s="153">
        <f>INT(AD48/5)</f>
        <v>1</v>
      </c>
      <c r="AI48" s="162"/>
      <c r="AJ48" s="39"/>
    </row>
    <row r="49" spans="1:36" x14ac:dyDescent="0.25">
      <c r="A49" s="34"/>
      <c r="B49" s="178" t="s">
        <v>294</v>
      </c>
      <c r="C49" s="179"/>
      <c r="D49" s="179"/>
      <c r="E49" s="179"/>
      <c r="F49" s="179"/>
      <c r="G49" s="180">
        <v>1</v>
      </c>
      <c r="H49" s="180"/>
      <c r="I49" s="147"/>
      <c r="J49" s="147"/>
      <c r="K49" s="147"/>
      <c r="L49" s="147"/>
      <c r="M49" s="157">
        <f>SUM(G49:L49)</f>
        <v>1</v>
      </c>
      <c r="N49" s="157"/>
      <c r="O49" s="157">
        <f>INT(M49/2)</f>
        <v>0</v>
      </c>
      <c r="P49" s="157"/>
      <c r="Q49" s="157">
        <f>INT(M49/5)</f>
        <v>0</v>
      </c>
      <c r="R49" s="159"/>
      <c r="S49" s="179" t="s">
        <v>403</v>
      </c>
      <c r="T49" s="179"/>
      <c r="U49" s="179"/>
      <c r="V49" s="179"/>
      <c r="W49" s="179"/>
      <c r="X49" s="180">
        <v>20</v>
      </c>
      <c r="Y49" s="180"/>
      <c r="Z49" s="147"/>
      <c r="AA49" s="147"/>
      <c r="AB49" s="147"/>
      <c r="AC49" s="147"/>
      <c r="AD49" s="157">
        <f t="shared" si="9"/>
        <v>20</v>
      </c>
      <c r="AE49" s="157"/>
      <c r="AF49" s="157">
        <f>INT(AD49/2)</f>
        <v>10</v>
      </c>
      <c r="AG49" s="157"/>
      <c r="AH49" s="157">
        <f>INT(AD49/5)</f>
        <v>4</v>
      </c>
      <c r="AI49" s="158"/>
      <c r="AJ49" s="39"/>
    </row>
    <row r="50" spans="1:36" x14ac:dyDescent="0.25">
      <c r="A50" s="34"/>
      <c r="B50" s="181" t="s">
        <v>295</v>
      </c>
      <c r="C50" s="182"/>
      <c r="D50" s="182"/>
      <c r="E50" s="182"/>
      <c r="F50" s="182"/>
      <c r="G50" s="183">
        <v>5</v>
      </c>
      <c r="H50" s="183"/>
      <c r="I50" s="148"/>
      <c r="J50" s="148"/>
      <c r="K50" s="148"/>
      <c r="L50" s="148"/>
      <c r="M50" s="153">
        <f t="shared" ref="M50:M79" si="10">SUM(G50:L50)</f>
        <v>5</v>
      </c>
      <c r="N50" s="153"/>
      <c r="O50" s="153">
        <f t="shared" ref="O50:O79" si="11">INT(M50/2)</f>
        <v>2</v>
      </c>
      <c r="P50" s="153"/>
      <c r="Q50" s="153">
        <f t="shared" ref="Q50:Q79" si="12">INT(M50/5)</f>
        <v>1</v>
      </c>
      <c r="R50" s="154"/>
      <c r="S50" s="184" t="s">
        <v>308</v>
      </c>
      <c r="T50" s="184"/>
      <c r="U50" s="184"/>
      <c r="V50" s="184"/>
      <c r="W50" s="184"/>
      <c r="X50" s="183">
        <v>20</v>
      </c>
      <c r="Y50" s="183"/>
      <c r="Z50" s="148">
        <v>30</v>
      </c>
      <c r="AA50" s="148"/>
      <c r="AB50" s="148">
        <v>20</v>
      </c>
      <c r="AC50" s="148"/>
      <c r="AD50" s="153">
        <f t="shared" si="9"/>
        <v>70</v>
      </c>
      <c r="AE50" s="153"/>
      <c r="AF50" s="153">
        <f t="shared" ref="AF50:AF78" si="13">INT(AD50/2)</f>
        <v>35</v>
      </c>
      <c r="AG50" s="153"/>
      <c r="AH50" s="153">
        <f t="shared" ref="AH50:AH78" si="14">INT(AD50/5)</f>
        <v>14</v>
      </c>
      <c r="AI50" s="162"/>
      <c r="AJ50" s="39"/>
    </row>
    <row r="51" spans="1:36" x14ac:dyDescent="0.25">
      <c r="A51" s="34"/>
      <c r="B51" s="178" t="s">
        <v>296</v>
      </c>
      <c r="C51" s="179"/>
      <c r="D51" s="179"/>
      <c r="E51" s="179"/>
      <c r="F51" s="179"/>
      <c r="G51" s="180">
        <v>1</v>
      </c>
      <c r="H51" s="180"/>
      <c r="I51" s="147"/>
      <c r="J51" s="147"/>
      <c r="K51" s="147"/>
      <c r="L51" s="147"/>
      <c r="M51" s="157">
        <f t="shared" si="10"/>
        <v>1</v>
      </c>
      <c r="N51" s="157"/>
      <c r="O51" s="157">
        <f t="shared" si="11"/>
        <v>0</v>
      </c>
      <c r="P51" s="157"/>
      <c r="Q51" s="157">
        <f t="shared" si="12"/>
        <v>0</v>
      </c>
      <c r="R51" s="159"/>
      <c r="S51" s="179" t="s">
        <v>309</v>
      </c>
      <c r="T51" s="179"/>
      <c r="U51" s="179"/>
      <c r="V51" s="179"/>
      <c r="W51" s="179"/>
      <c r="X51" s="180">
        <v>1</v>
      </c>
      <c r="Y51" s="180"/>
      <c r="Z51" s="147"/>
      <c r="AA51" s="147"/>
      <c r="AB51" s="147"/>
      <c r="AC51" s="147"/>
      <c r="AD51" s="157">
        <f t="shared" si="9"/>
        <v>1</v>
      </c>
      <c r="AE51" s="157"/>
      <c r="AF51" s="157">
        <f t="shared" si="13"/>
        <v>0</v>
      </c>
      <c r="AG51" s="157"/>
      <c r="AH51" s="157">
        <f t="shared" si="14"/>
        <v>0</v>
      </c>
      <c r="AI51" s="158"/>
      <c r="AJ51" s="39"/>
    </row>
    <row r="52" spans="1:36" x14ac:dyDescent="0.25">
      <c r="A52" s="34"/>
      <c r="B52" s="220" t="s">
        <v>324</v>
      </c>
      <c r="C52" s="221"/>
      <c r="D52" s="222"/>
      <c r="E52" s="222"/>
      <c r="F52" s="223"/>
      <c r="G52" s="183">
        <v>5</v>
      </c>
      <c r="H52" s="183"/>
      <c r="I52" s="148"/>
      <c r="J52" s="148"/>
      <c r="K52" s="148"/>
      <c r="L52" s="148"/>
      <c r="M52" s="153">
        <f t="shared" si="10"/>
        <v>5</v>
      </c>
      <c r="N52" s="153"/>
      <c r="O52" s="153">
        <f t="shared" si="11"/>
        <v>2</v>
      </c>
      <c r="P52" s="153"/>
      <c r="Q52" s="153">
        <f t="shared" si="12"/>
        <v>1</v>
      </c>
      <c r="R52" s="154"/>
      <c r="S52" s="184" t="s">
        <v>310</v>
      </c>
      <c r="T52" s="184"/>
      <c r="U52" s="184"/>
      <c r="V52" s="184"/>
      <c r="W52" s="184"/>
      <c r="X52" s="183">
        <v>10</v>
      </c>
      <c r="Y52" s="183"/>
      <c r="Z52" s="148"/>
      <c r="AA52" s="148"/>
      <c r="AB52" s="148"/>
      <c r="AC52" s="148"/>
      <c r="AD52" s="153">
        <f t="shared" si="9"/>
        <v>10</v>
      </c>
      <c r="AE52" s="153"/>
      <c r="AF52" s="153">
        <f t="shared" si="13"/>
        <v>5</v>
      </c>
      <c r="AG52" s="153"/>
      <c r="AH52" s="153">
        <f t="shared" si="14"/>
        <v>2</v>
      </c>
      <c r="AI52" s="162"/>
      <c r="AJ52" s="39"/>
    </row>
    <row r="53" spans="1:36" x14ac:dyDescent="0.25">
      <c r="A53" s="34"/>
      <c r="B53" s="224" t="s">
        <v>324</v>
      </c>
      <c r="C53" s="195"/>
      <c r="D53" s="176"/>
      <c r="E53" s="176"/>
      <c r="F53" s="177"/>
      <c r="G53" s="180">
        <v>5</v>
      </c>
      <c r="H53" s="180"/>
      <c r="I53" s="147"/>
      <c r="J53" s="147"/>
      <c r="K53" s="147"/>
      <c r="L53" s="147"/>
      <c r="M53" s="157">
        <f t="shared" si="10"/>
        <v>5</v>
      </c>
      <c r="N53" s="157"/>
      <c r="O53" s="157">
        <f t="shared" si="11"/>
        <v>2</v>
      </c>
      <c r="P53" s="157"/>
      <c r="Q53" s="157">
        <f t="shared" si="12"/>
        <v>1</v>
      </c>
      <c r="R53" s="159"/>
      <c r="S53" s="179" t="s">
        <v>311</v>
      </c>
      <c r="T53" s="179"/>
      <c r="U53" s="179"/>
      <c r="V53" s="179"/>
      <c r="W53" s="179"/>
      <c r="X53" s="180">
        <v>1</v>
      </c>
      <c r="Y53" s="180"/>
      <c r="Z53" s="147"/>
      <c r="AA53" s="147"/>
      <c r="AB53" s="147"/>
      <c r="AC53" s="147"/>
      <c r="AD53" s="157">
        <f t="shared" si="9"/>
        <v>1</v>
      </c>
      <c r="AE53" s="157"/>
      <c r="AF53" s="157">
        <f t="shared" si="13"/>
        <v>0</v>
      </c>
      <c r="AG53" s="157"/>
      <c r="AH53" s="157">
        <f t="shared" si="14"/>
        <v>0</v>
      </c>
      <c r="AI53" s="158"/>
      <c r="AJ53" s="39"/>
    </row>
    <row r="54" spans="1:36" x14ac:dyDescent="0.25">
      <c r="A54" s="34"/>
      <c r="B54" s="220" t="s">
        <v>324</v>
      </c>
      <c r="C54" s="221"/>
      <c r="D54" s="222"/>
      <c r="E54" s="222"/>
      <c r="F54" s="223"/>
      <c r="G54" s="183">
        <v>5</v>
      </c>
      <c r="H54" s="183"/>
      <c r="I54" s="148"/>
      <c r="J54" s="148"/>
      <c r="K54" s="148"/>
      <c r="L54" s="148"/>
      <c r="M54" s="153">
        <f t="shared" si="10"/>
        <v>5</v>
      </c>
      <c r="N54" s="153"/>
      <c r="O54" s="153">
        <f t="shared" si="11"/>
        <v>2</v>
      </c>
      <c r="P54" s="153"/>
      <c r="Q54" s="153">
        <f t="shared" si="12"/>
        <v>1</v>
      </c>
      <c r="R54" s="154"/>
      <c r="S54" s="184" t="s">
        <v>418</v>
      </c>
      <c r="T54" s="184"/>
      <c r="U54" s="184"/>
      <c r="V54" s="184"/>
      <c r="W54" s="184"/>
      <c r="X54" s="183">
        <v>10</v>
      </c>
      <c r="Y54" s="183"/>
      <c r="Z54" s="148"/>
      <c r="AA54" s="148"/>
      <c r="AB54" s="148"/>
      <c r="AC54" s="148"/>
      <c r="AD54" s="153">
        <f t="shared" si="9"/>
        <v>10</v>
      </c>
      <c r="AE54" s="153"/>
      <c r="AF54" s="153">
        <f t="shared" si="13"/>
        <v>5</v>
      </c>
      <c r="AG54" s="153"/>
      <c r="AH54" s="153">
        <f t="shared" si="14"/>
        <v>2</v>
      </c>
      <c r="AI54" s="162"/>
      <c r="AJ54" s="39"/>
    </row>
    <row r="55" spans="1:36" x14ac:dyDescent="0.25">
      <c r="A55" s="34"/>
      <c r="B55" s="178" t="s">
        <v>297</v>
      </c>
      <c r="C55" s="179"/>
      <c r="D55" s="179"/>
      <c r="E55" s="179"/>
      <c r="F55" s="179"/>
      <c r="G55" s="180">
        <v>15</v>
      </c>
      <c r="H55" s="180"/>
      <c r="I55" s="147"/>
      <c r="J55" s="147"/>
      <c r="K55" s="147"/>
      <c r="L55" s="147"/>
      <c r="M55" s="157">
        <f t="shared" si="10"/>
        <v>15</v>
      </c>
      <c r="N55" s="157"/>
      <c r="O55" s="157">
        <f t="shared" si="11"/>
        <v>7</v>
      </c>
      <c r="P55" s="157"/>
      <c r="Q55" s="157">
        <f t="shared" si="12"/>
        <v>3</v>
      </c>
      <c r="R55" s="159"/>
      <c r="S55" s="179" t="s">
        <v>312</v>
      </c>
      <c r="T55" s="179"/>
      <c r="U55" s="179"/>
      <c r="V55" s="179"/>
      <c r="W55" s="179"/>
      <c r="X55" s="180">
        <v>10</v>
      </c>
      <c r="Y55" s="180"/>
      <c r="Z55" s="147"/>
      <c r="AA55" s="147"/>
      <c r="AB55" s="147"/>
      <c r="AC55" s="147"/>
      <c r="AD55" s="157">
        <f t="shared" si="9"/>
        <v>10</v>
      </c>
      <c r="AE55" s="157"/>
      <c r="AF55" s="157">
        <f t="shared" si="13"/>
        <v>5</v>
      </c>
      <c r="AG55" s="157"/>
      <c r="AH55" s="157">
        <f t="shared" si="14"/>
        <v>2</v>
      </c>
      <c r="AI55" s="158"/>
      <c r="AJ55" s="39"/>
    </row>
    <row r="56" spans="1:36" x14ac:dyDescent="0.25">
      <c r="A56" s="34"/>
      <c r="B56" s="181" t="s">
        <v>298</v>
      </c>
      <c r="C56" s="182"/>
      <c r="D56" s="182"/>
      <c r="E56" s="182"/>
      <c r="F56" s="182"/>
      <c r="G56" s="183">
        <v>20</v>
      </c>
      <c r="H56" s="183"/>
      <c r="I56" s="148"/>
      <c r="J56" s="148"/>
      <c r="K56" s="148"/>
      <c r="L56" s="148"/>
      <c r="M56" s="153">
        <f t="shared" si="10"/>
        <v>20</v>
      </c>
      <c r="N56" s="153"/>
      <c r="O56" s="153">
        <f t="shared" si="11"/>
        <v>10</v>
      </c>
      <c r="P56" s="153"/>
      <c r="Q56" s="153">
        <f t="shared" si="12"/>
        <v>4</v>
      </c>
      <c r="R56" s="154"/>
      <c r="S56" s="184" t="s">
        <v>313</v>
      </c>
      <c r="T56" s="184"/>
      <c r="U56" s="184"/>
      <c r="V56" s="184"/>
      <c r="W56" s="184"/>
      <c r="X56" s="183">
        <v>5</v>
      </c>
      <c r="Y56" s="183"/>
      <c r="Z56" s="148"/>
      <c r="AA56" s="148"/>
      <c r="AB56" s="148"/>
      <c r="AC56" s="148"/>
      <c r="AD56" s="153">
        <f t="shared" si="9"/>
        <v>5</v>
      </c>
      <c r="AE56" s="153"/>
      <c r="AF56" s="153">
        <f t="shared" si="13"/>
        <v>2</v>
      </c>
      <c r="AG56" s="153"/>
      <c r="AH56" s="153">
        <f t="shared" si="14"/>
        <v>1</v>
      </c>
      <c r="AI56" s="162"/>
      <c r="AJ56" s="39"/>
    </row>
    <row r="57" spans="1:36" x14ac:dyDescent="0.25">
      <c r="A57" s="34"/>
      <c r="B57" s="178" t="str">
        <f>IF(E8="现代","计算机使用","Ω")</f>
        <v>计算机使用</v>
      </c>
      <c r="C57" s="179"/>
      <c r="D57" s="179"/>
      <c r="E57" s="179"/>
      <c r="F57" s="179"/>
      <c r="G57" s="180">
        <v>5</v>
      </c>
      <c r="H57" s="180"/>
      <c r="I57" s="147"/>
      <c r="J57" s="147"/>
      <c r="K57" s="147"/>
      <c r="L57" s="147"/>
      <c r="M57" s="157">
        <f t="shared" si="10"/>
        <v>5</v>
      </c>
      <c r="N57" s="157"/>
      <c r="O57" s="157">
        <f t="shared" si="11"/>
        <v>2</v>
      </c>
      <c r="P57" s="157"/>
      <c r="Q57" s="157">
        <f t="shared" si="12"/>
        <v>1</v>
      </c>
      <c r="R57" s="159"/>
      <c r="S57" s="179" t="s">
        <v>314</v>
      </c>
      <c r="T57" s="179"/>
      <c r="U57" s="179"/>
      <c r="V57" s="179"/>
      <c r="W57" s="179"/>
      <c r="X57" s="180">
        <v>1</v>
      </c>
      <c r="Y57" s="180"/>
      <c r="Z57" s="147"/>
      <c r="AA57" s="147"/>
      <c r="AB57" s="147"/>
      <c r="AC57" s="147"/>
      <c r="AD57" s="157">
        <f t="shared" si="9"/>
        <v>1</v>
      </c>
      <c r="AE57" s="157"/>
      <c r="AF57" s="157">
        <f t="shared" si="13"/>
        <v>0</v>
      </c>
      <c r="AG57" s="157"/>
      <c r="AH57" s="157">
        <f t="shared" si="14"/>
        <v>0</v>
      </c>
      <c r="AI57" s="158"/>
      <c r="AJ57" s="39"/>
    </row>
    <row r="58" spans="1:36" x14ac:dyDescent="0.25">
      <c r="A58" s="34"/>
      <c r="B58" s="181" t="s">
        <v>401</v>
      </c>
      <c r="C58" s="182"/>
      <c r="D58" s="182"/>
      <c r="E58" s="182"/>
      <c r="F58" s="182"/>
      <c r="G58" s="183">
        <v>0</v>
      </c>
      <c r="H58" s="183"/>
      <c r="I58" s="219">
        <v>20</v>
      </c>
      <c r="J58" s="219"/>
      <c r="K58" s="148"/>
      <c r="L58" s="148"/>
      <c r="M58" s="153">
        <f t="shared" si="10"/>
        <v>20</v>
      </c>
      <c r="N58" s="153"/>
      <c r="O58" s="153">
        <f t="shared" si="11"/>
        <v>10</v>
      </c>
      <c r="P58" s="153"/>
      <c r="Q58" s="153">
        <f t="shared" si="12"/>
        <v>4</v>
      </c>
      <c r="R58" s="154"/>
      <c r="S58" s="184" t="s">
        <v>76</v>
      </c>
      <c r="T58" s="184"/>
      <c r="U58" s="184"/>
      <c r="V58" s="184"/>
      <c r="W58" s="184"/>
      <c r="X58" s="183">
        <v>10</v>
      </c>
      <c r="Y58" s="183"/>
      <c r="Z58" s="148"/>
      <c r="AA58" s="148"/>
      <c r="AB58" s="148"/>
      <c r="AC58" s="148"/>
      <c r="AD58" s="153">
        <f t="shared" si="9"/>
        <v>10</v>
      </c>
      <c r="AE58" s="153"/>
      <c r="AF58" s="153">
        <f t="shared" si="13"/>
        <v>5</v>
      </c>
      <c r="AG58" s="153"/>
      <c r="AH58" s="153">
        <f t="shared" si="14"/>
        <v>2</v>
      </c>
      <c r="AI58" s="162"/>
      <c r="AJ58" s="39"/>
    </row>
    <row r="59" spans="1:36" x14ac:dyDescent="0.25">
      <c r="A59" s="34"/>
      <c r="B59" s="178" t="s">
        <v>299</v>
      </c>
      <c r="C59" s="179"/>
      <c r="D59" s="179"/>
      <c r="E59" s="179"/>
      <c r="F59" s="179"/>
      <c r="G59" s="180">
        <v>0</v>
      </c>
      <c r="H59" s="180"/>
      <c r="I59" s="147" t="s">
        <v>33</v>
      </c>
      <c r="J59" s="147"/>
      <c r="K59" s="147" t="s">
        <v>33</v>
      </c>
      <c r="L59" s="147" t="s">
        <v>33</v>
      </c>
      <c r="M59" s="157">
        <f t="shared" si="10"/>
        <v>0</v>
      </c>
      <c r="N59" s="157"/>
      <c r="O59" s="157">
        <f t="shared" si="11"/>
        <v>0</v>
      </c>
      <c r="P59" s="157"/>
      <c r="Q59" s="157">
        <f t="shared" si="12"/>
        <v>0</v>
      </c>
      <c r="R59" s="159"/>
      <c r="S59" s="175" t="s">
        <v>328</v>
      </c>
      <c r="T59" s="195"/>
      <c r="U59" s="187"/>
      <c r="V59" s="187"/>
      <c r="W59" s="188"/>
      <c r="X59" s="180">
        <v>1</v>
      </c>
      <c r="Y59" s="180"/>
      <c r="Z59" s="147"/>
      <c r="AA59" s="147"/>
      <c r="AB59" s="147"/>
      <c r="AC59" s="147"/>
      <c r="AD59" s="157">
        <f t="shared" si="9"/>
        <v>1</v>
      </c>
      <c r="AE59" s="157"/>
      <c r="AF59" s="157">
        <f t="shared" si="13"/>
        <v>0</v>
      </c>
      <c r="AG59" s="157"/>
      <c r="AH59" s="157">
        <f t="shared" si="14"/>
        <v>0</v>
      </c>
      <c r="AI59" s="158"/>
      <c r="AJ59" s="39"/>
    </row>
    <row r="60" spans="1:36" x14ac:dyDescent="0.25">
      <c r="A60" s="34"/>
      <c r="B60" s="181" t="s">
        <v>300</v>
      </c>
      <c r="C60" s="182"/>
      <c r="D60" s="182"/>
      <c r="E60" s="182"/>
      <c r="F60" s="182"/>
      <c r="G60" s="183">
        <v>5</v>
      </c>
      <c r="H60" s="183"/>
      <c r="I60" s="148">
        <v>45</v>
      </c>
      <c r="J60" s="148"/>
      <c r="K60" s="148"/>
      <c r="L60" s="148"/>
      <c r="M60" s="153">
        <f t="shared" si="10"/>
        <v>50</v>
      </c>
      <c r="N60" s="153"/>
      <c r="O60" s="153">
        <f t="shared" si="11"/>
        <v>25</v>
      </c>
      <c r="P60" s="153"/>
      <c r="Q60" s="153">
        <f t="shared" si="12"/>
        <v>10</v>
      </c>
      <c r="R60" s="154"/>
      <c r="S60" s="184" t="s">
        <v>315</v>
      </c>
      <c r="T60" s="184"/>
      <c r="U60" s="184"/>
      <c r="V60" s="184"/>
      <c r="W60" s="184"/>
      <c r="X60" s="183">
        <v>1</v>
      </c>
      <c r="Y60" s="183"/>
      <c r="Z60" s="148"/>
      <c r="AA60" s="148"/>
      <c r="AB60" s="148"/>
      <c r="AC60" s="148"/>
      <c r="AD60" s="153">
        <f t="shared" si="9"/>
        <v>1</v>
      </c>
      <c r="AE60" s="153"/>
      <c r="AF60" s="153">
        <f t="shared" si="13"/>
        <v>0</v>
      </c>
      <c r="AG60" s="153"/>
      <c r="AH60" s="153">
        <f t="shared" si="14"/>
        <v>0</v>
      </c>
      <c r="AI60" s="162"/>
      <c r="AJ60" s="39"/>
    </row>
    <row r="61" spans="1:36" x14ac:dyDescent="0.25">
      <c r="A61" s="34"/>
      <c r="B61" s="178" t="s">
        <v>301</v>
      </c>
      <c r="C61" s="179"/>
      <c r="D61" s="179"/>
      <c r="E61" s="179"/>
      <c r="F61" s="179"/>
      <c r="G61" s="180">
        <f>INT(DEX/2)</f>
        <v>35</v>
      </c>
      <c r="H61" s="180"/>
      <c r="I61" s="147"/>
      <c r="J61" s="147"/>
      <c r="K61" s="147">
        <v>40</v>
      </c>
      <c r="L61" s="147"/>
      <c r="M61" s="157">
        <f t="shared" si="10"/>
        <v>75</v>
      </c>
      <c r="N61" s="157"/>
      <c r="O61" s="157">
        <f t="shared" si="11"/>
        <v>37</v>
      </c>
      <c r="P61" s="157"/>
      <c r="Q61" s="157">
        <f t="shared" si="12"/>
        <v>15</v>
      </c>
      <c r="R61" s="159"/>
      <c r="S61" s="179" t="s">
        <v>316</v>
      </c>
      <c r="T61" s="179"/>
      <c r="U61" s="179"/>
      <c r="V61" s="179"/>
      <c r="W61" s="179"/>
      <c r="X61" s="180">
        <v>10</v>
      </c>
      <c r="Y61" s="180"/>
      <c r="Z61" s="147">
        <v>50</v>
      </c>
      <c r="AA61" s="147"/>
      <c r="AB61" s="147"/>
      <c r="AC61" s="147"/>
      <c r="AD61" s="157">
        <f t="shared" si="9"/>
        <v>60</v>
      </c>
      <c r="AE61" s="157"/>
      <c r="AF61" s="157">
        <f t="shared" si="13"/>
        <v>30</v>
      </c>
      <c r="AG61" s="157"/>
      <c r="AH61" s="157">
        <f t="shared" si="14"/>
        <v>12</v>
      </c>
      <c r="AI61" s="158"/>
      <c r="AJ61" s="39"/>
    </row>
    <row r="62" spans="1:36" x14ac:dyDescent="0.25">
      <c r="A62" s="34"/>
      <c r="B62" s="181" t="s">
        <v>599</v>
      </c>
      <c r="C62" s="182"/>
      <c r="D62" s="182"/>
      <c r="E62" s="182"/>
      <c r="F62" s="182"/>
      <c r="G62" s="183">
        <v>20</v>
      </c>
      <c r="H62" s="183"/>
      <c r="I62" s="148"/>
      <c r="J62" s="148"/>
      <c r="K62" s="148"/>
      <c r="L62" s="148"/>
      <c r="M62" s="153">
        <f t="shared" si="10"/>
        <v>20</v>
      </c>
      <c r="N62" s="153"/>
      <c r="O62" s="153">
        <f t="shared" si="11"/>
        <v>10</v>
      </c>
      <c r="P62" s="153"/>
      <c r="Q62" s="153">
        <f t="shared" si="12"/>
        <v>4</v>
      </c>
      <c r="R62" s="154"/>
      <c r="S62" s="184" t="s">
        <v>317</v>
      </c>
      <c r="T62" s="184"/>
      <c r="U62" s="184"/>
      <c r="V62" s="184"/>
      <c r="W62" s="184"/>
      <c r="X62" s="183">
        <v>5</v>
      </c>
      <c r="Y62" s="183"/>
      <c r="Z62" s="148"/>
      <c r="AA62" s="148"/>
      <c r="AB62" s="148"/>
      <c r="AC62" s="148"/>
      <c r="AD62" s="153">
        <f t="shared" si="9"/>
        <v>5</v>
      </c>
      <c r="AE62" s="153"/>
      <c r="AF62" s="153">
        <f t="shared" si="13"/>
        <v>2</v>
      </c>
      <c r="AG62" s="153"/>
      <c r="AH62" s="153">
        <f t="shared" si="14"/>
        <v>1</v>
      </c>
      <c r="AI62" s="162"/>
      <c r="AJ62" s="39"/>
    </row>
    <row r="63" spans="1:36" x14ac:dyDescent="0.25">
      <c r="A63" s="34"/>
      <c r="B63" s="178" t="s">
        <v>302</v>
      </c>
      <c r="C63" s="179"/>
      <c r="D63" s="179"/>
      <c r="E63" s="179"/>
      <c r="F63" s="179"/>
      <c r="G63" s="180">
        <v>10</v>
      </c>
      <c r="H63" s="180"/>
      <c r="I63" s="147"/>
      <c r="J63" s="147"/>
      <c r="K63" s="217"/>
      <c r="L63" s="218"/>
      <c r="M63" s="157">
        <f t="shared" si="10"/>
        <v>10</v>
      </c>
      <c r="N63" s="157"/>
      <c r="O63" s="157">
        <f t="shared" si="11"/>
        <v>5</v>
      </c>
      <c r="P63" s="157"/>
      <c r="Q63" s="157">
        <f t="shared" si="12"/>
        <v>2</v>
      </c>
      <c r="R63" s="159"/>
      <c r="S63" s="213" t="s">
        <v>327</v>
      </c>
      <c r="T63" s="214"/>
      <c r="U63" s="176" t="s">
        <v>18</v>
      </c>
      <c r="V63" s="176"/>
      <c r="W63" s="177"/>
      <c r="X63" s="180">
        <f>LOOKUP(U63,技能专攻!E4:E16,技能专攻!F4:F16)</f>
        <v>1</v>
      </c>
      <c r="Y63" s="180"/>
      <c r="Z63" s="147"/>
      <c r="AA63" s="147"/>
      <c r="AB63" s="147"/>
      <c r="AC63" s="147"/>
      <c r="AD63" s="157">
        <f t="shared" si="9"/>
        <v>1</v>
      </c>
      <c r="AE63" s="157"/>
      <c r="AF63" s="157">
        <f t="shared" si="13"/>
        <v>0</v>
      </c>
      <c r="AG63" s="157"/>
      <c r="AH63" s="157">
        <f t="shared" si="14"/>
        <v>0</v>
      </c>
      <c r="AI63" s="158"/>
      <c r="AJ63" s="39"/>
    </row>
    <row r="64" spans="1:36" x14ac:dyDescent="0.25">
      <c r="A64" s="34"/>
      <c r="B64" s="181" t="str">
        <f>IF(E8="现代","电子学","Ω")</f>
        <v>电子学</v>
      </c>
      <c r="C64" s="182"/>
      <c r="D64" s="182"/>
      <c r="E64" s="182"/>
      <c r="F64" s="182"/>
      <c r="G64" s="183">
        <v>1</v>
      </c>
      <c r="H64" s="183"/>
      <c r="I64" s="148"/>
      <c r="J64" s="148"/>
      <c r="K64" s="148"/>
      <c r="L64" s="148"/>
      <c r="M64" s="153">
        <f t="shared" si="10"/>
        <v>1</v>
      </c>
      <c r="N64" s="153"/>
      <c r="O64" s="153">
        <f t="shared" si="11"/>
        <v>0</v>
      </c>
      <c r="P64" s="153"/>
      <c r="Q64" s="153">
        <f t="shared" si="12"/>
        <v>0</v>
      </c>
      <c r="R64" s="154"/>
      <c r="S64" s="215" t="s">
        <v>327</v>
      </c>
      <c r="T64" s="216"/>
      <c r="U64" s="151"/>
      <c r="V64" s="151"/>
      <c r="W64" s="152"/>
      <c r="X64" s="183">
        <v>1</v>
      </c>
      <c r="Y64" s="183"/>
      <c r="Z64" s="148"/>
      <c r="AA64" s="148"/>
      <c r="AB64" s="148"/>
      <c r="AC64" s="148"/>
      <c r="AD64" s="153">
        <f t="shared" si="9"/>
        <v>1</v>
      </c>
      <c r="AE64" s="153"/>
      <c r="AF64" s="153">
        <f t="shared" si="13"/>
        <v>0</v>
      </c>
      <c r="AG64" s="153"/>
      <c r="AH64" s="153">
        <f t="shared" si="14"/>
        <v>0</v>
      </c>
      <c r="AI64" s="162"/>
      <c r="AJ64" s="39"/>
    </row>
    <row r="65" spans="1:36" x14ac:dyDescent="0.25">
      <c r="A65" s="34"/>
      <c r="B65" s="178" t="s">
        <v>303</v>
      </c>
      <c r="C65" s="179"/>
      <c r="D65" s="179"/>
      <c r="E65" s="179"/>
      <c r="F65" s="179"/>
      <c r="G65" s="180">
        <v>5</v>
      </c>
      <c r="H65" s="180"/>
      <c r="I65" s="147">
        <v>30</v>
      </c>
      <c r="J65" s="147"/>
      <c r="K65" s="147">
        <v>25</v>
      </c>
      <c r="L65" s="147"/>
      <c r="M65" s="157">
        <f t="shared" si="10"/>
        <v>60</v>
      </c>
      <c r="N65" s="157"/>
      <c r="O65" s="157">
        <f t="shared" si="11"/>
        <v>30</v>
      </c>
      <c r="P65" s="157"/>
      <c r="Q65" s="157">
        <f t="shared" si="12"/>
        <v>12</v>
      </c>
      <c r="R65" s="159"/>
      <c r="S65" s="213" t="s">
        <v>327</v>
      </c>
      <c r="T65" s="214"/>
      <c r="U65" s="176"/>
      <c r="V65" s="176"/>
      <c r="W65" s="177"/>
      <c r="X65" s="180">
        <v>1</v>
      </c>
      <c r="Y65" s="180"/>
      <c r="Z65" s="147"/>
      <c r="AA65" s="147"/>
      <c r="AB65" s="147"/>
      <c r="AC65" s="147"/>
      <c r="AD65" s="157">
        <f t="shared" si="9"/>
        <v>1</v>
      </c>
      <c r="AE65" s="157"/>
      <c r="AF65" s="157">
        <f t="shared" si="13"/>
        <v>0</v>
      </c>
      <c r="AG65" s="157"/>
      <c r="AH65" s="157">
        <f t="shared" si="14"/>
        <v>0</v>
      </c>
      <c r="AI65" s="158"/>
      <c r="AJ65" s="39"/>
    </row>
    <row r="66" spans="1:36" x14ac:dyDescent="0.25">
      <c r="A66" s="34"/>
      <c r="B66" s="209" t="s">
        <v>325</v>
      </c>
      <c r="C66" s="210"/>
      <c r="D66" s="211" t="s">
        <v>73</v>
      </c>
      <c r="E66" s="211"/>
      <c r="F66" s="212"/>
      <c r="G66" s="183">
        <v>25</v>
      </c>
      <c r="H66" s="183"/>
      <c r="I66" s="148"/>
      <c r="J66" s="148"/>
      <c r="K66" s="148"/>
      <c r="L66" s="148"/>
      <c r="M66" s="153">
        <f t="shared" si="10"/>
        <v>25</v>
      </c>
      <c r="N66" s="153"/>
      <c r="O66" s="153">
        <f t="shared" si="11"/>
        <v>12</v>
      </c>
      <c r="P66" s="153"/>
      <c r="Q66" s="153">
        <f t="shared" si="12"/>
        <v>5</v>
      </c>
      <c r="R66" s="154"/>
      <c r="S66" s="184" t="s">
        <v>319</v>
      </c>
      <c r="T66" s="184"/>
      <c r="U66" s="184"/>
      <c r="V66" s="184"/>
      <c r="W66" s="184"/>
      <c r="X66" s="183">
        <v>10</v>
      </c>
      <c r="Y66" s="183"/>
      <c r="Z66" s="148">
        <v>70</v>
      </c>
      <c r="AA66" s="148"/>
      <c r="AB66" s="148">
        <v>5</v>
      </c>
      <c r="AC66" s="148"/>
      <c r="AD66" s="153">
        <f t="shared" si="9"/>
        <v>85</v>
      </c>
      <c r="AE66" s="153"/>
      <c r="AF66" s="153">
        <f t="shared" si="13"/>
        <v>42</v>
      </c>
      <c r="AG66" s="153"/>
      <c r="AH66" s="153">
        <f t="shared" si="14"/>
        <v>17</v>
      </c>
      <c r="AI66" s="162"/>
      <c r="AJ66" s="39"/>
    </row>
    <row r="67" spans="1:36" x14ac:dyDescent="0.25">
      <c r="A67" s="34"/>
      <c r="B67" s="205" t="s">
        <v>325</v>
      </c>
      <c r="C67" s="206"/>
      <c r="D67" s="207" t="s">
        <v>400</v>
      </c>
      <c r="E67" s="207"/>
      <c r="F67" s="208"/>
      <c r="G67" s="180">
        <f>LOOKUP(D67,技能专攻!H4:H11,技能专攻!I4:I11)</f>
        <v>20</v>
      </c>
      <c r="H67" s="180"/>
      <c r="I67" s="147"/>
      <c r="J67" s="147"/>
      <c r="K67" s="147"/>
      <c r="L67" s="147"/>
      <c r="M67" s="157">
        <f t="shared" si="10"/>
        <v>20</v>
      </c>
      <c r="N67" s="157"/>
      <c r="O67" s="157">
        <f t="shared" si="11"/>
        <v>10</v>
      </c>
      <c r="P67" s="157"/>
      <c r="Q67" s="157">
        <f t="shared" si="12"/>
        <v>4</v>
      </c>
      <c r="R67" s="159"/>
      <c r="S67" s="179" t="s">
        <v>719</v>
      </c>
      <c r="T67" s="179"/>
      <c r="U67" s="179"/>
      <c r="V67" s="179"/>
      <c r="W67" s="179"/>
      <c r="X67" s="180">
        <v>25</v>
      </c>
      <c r="Y67" s="180"/>
      <c r="Z67" s="147"/>
      <c r="AA67" s="147"/>
      <c r="AB67" s="147">
        <v>25</v>
      </c>
      <c r="AC67" s="147"/>
      <c r="AD67" s="157">
        <f t="shared" si="9"/>
        <v>50</v>
      </c>
      <c r="AE67" s="157"/>
      <c r="AF67" s="157">
        <f t="shared" si="13"/>
        <v>25</v>
      </c>
      <c r="AG67" s="157"/>
      <c r="AH67" s="157">
        <f t="shared" si="14"/>
        <v>10</v>
      </c>
      <c r="AI67" s="158"/>
      <c r="AJ67" s="39"/>
    </row>
    <row r="68" spans="1:36" x14ac:dyDescent="0.25">
      <c r="A68" s="34"/>
      <c r="B68" s="201" t="s">
        <v>325</v>
      </c>
      <c r="C68" s="202"/>
      <c r="D68" s="203"/>
      <c r="E68" s="203"/>
      <c r="F68" s="204"/>
      <c r="G68" s="148"/>
      <c r="H68" s="148"/>
      <c r="I68" s="148"/>
      <c r="J68" s="148"/>
      <c r="K68" s="148"/>
      <c r="L68" s="148"/>
      <c r="M68" s="153">
        <f t="shared" si="10"/>
        <v>0</v>
      </c>
      <c r="N68" s="153"/>
      <c r="O68" s="153">
        <f t="shared" si="11"/>
        <v>0</v>
      </c>
      <c r="P68" s="153"/>
      <c r="Q68" s="153">
        <f t="shared" si="12"/>
        <v>0</v>
      </c>
      <c r="R68" s="154"/>
      <c r="S68" s="184" t="s">
        <v>320</v>
      </c>
      <c r="T68" s="184"/>
      <c r="U68" s="184"/>
      <c r="V68" s="184"/>
      <c r="W68" s="184"/>
      <c r="X68" s="183">
        <v>20</v>
      </c>
      <c r="Y68" s="183"/>
      <c r="Z68" s="148">
        <v>55</v>
      </c>
      <c r="AA68" s="148"/>
      <c r="AB68" s="148">
        <v>5</v>
      </c>
      <c r="AC68" s="148"/>
      <c r="AD68" s="153">
        <f t="shared" si="9"/>
        <v>80</v>
      </c>
      <c r="AE68" s="153"/>
      <c r="AF68" s="153">
        <f t="shared" si="13"/>
        <v>40</v>
      </c>
      <c r="AG68" s="153"/>
      <c r="AH68" s="153">
        <f t="shared" si="14"/>
        <v>16</v>
      </c>
      <c r="AI68" s="162"/>
      <c r="AJ68" s="39"/>
    </row>
    <row r="69" spans="1:36" x14ac:dyDescent="0.25">
      <c r="A69" s="34"/>
      <c r="B69" s="185" t="s">
        <v>326</v>
      </c>
      <c r="C69" s="186"/>
      <c r="D69" s="188" t="s">
        <v>77</v>
      </c>
      <c r="E69" s="198"/>
      <c r="F69" s="198"/>
      <c r="G69" s="199">
        <f>LOOKUP(D69,技能专攻!K3:K9,技能专攻!L3:L9)</f>
        <v>20</v>
      </c>
      <c r="H69" s="200"/>
      <c r="I69" s="147"/>
      <c r="J69" s="147"/>
      <c r="K69" s="147"/>
      <c r="L69" s="147"/>
      <c r="M69" s="157">
        <f t="shared" si="10"/>
        <v>20</v>
      </c>
      <c r="N69" s="157"/>
      <c r="O69" s="157">
        <f t="shared" si="11"/>
        <v>10</v>
      </c>
      <c r="P69" s="157"/>
      <c r="Q69" s="157">
        <f t="shared" si="12"/>
        <v>4</v>
      </c>
      <c r="R69" s="159"/>
      <c r="S69" s="175" t="s">
        <v>354</v>
      </c>
      <c r="T69" s="195"/>
      <c r="U69" s="196"/>
      <c r="V69" s="196"/>
      <c r="W69" s="197"/>
      <c r="X69" s="180">
        <v>10</v>
      </c>
      <c r="Y69" s="180"/>
      <c r="Z69" s="147"/>
      <c r="AA69" s="147"/>
      <c r="AB69" s="147"/>
      <c r="AC69" s="147"/>
      <c r="AD69" s="157">
        <f t="shared" si="9"/>
        <v>10</v>
      </c>
      <c r="AE69" s="157"/>
      <c r="AF69" s="157">
        <f t="shared" si="13"/>
        <v>5</v>
      </c>
      <c r="AG69" s="157"/>
      <c r="AH69" s="157">
        <f t="shared" si="14"/>
        <v>2</v>
      </c>
      <c r="AI69" s="158"/>
      <c r="AJ69" s="39"/>
    </row>
    <row r="70" spans="1:36" x14ac:dyDescent="0.25">
      <c r="A70" s="34"/>
      <c r="B70" s="189" t="s">
        <v>326</v>
      </c>
      <c r="C70" s="190"/>
      <c r="D70" s="191" t="s">
        <v>323</v>
      </c>
      <c r="E70" s="191"/>
      <c r="F70" s="192"/>
      <c r="G70" s="193">
        <f>LOOKUP(D70,技能专攻!K4:K10,技能专攻!L4:L10)</f>
        <v>25</v>
      </c>
      <c r="H70" s="194"/>
      <c r="I70" s="148"/>
      <c r="J70" s="148"/>
      <c r="K70" s="148"/>
      <c r="L70" s="148"/>
      <c r="M70" s="153">
        <f t="shared" si="10"/>
        <v>25</v>
      </c>
      <c r="N70" s="153"/>
      <c r="O70" s="153">
        <f t="shared" si="11"/>
        <v>12</v>
      </c>
      <c r="P70" s="153"/>
      <c r="Q70" s="153">
        <f t="shared" si="12"/>
        <v>5</v>
      </c>
      <c r="R70" s="154"/>
      <c r="S70" s="184" t="s">
        <v>321</v>
      </c>
      <c r="T70" s="184"/>
      <c r="U70" s="184"/>
      <c r="V70" s="184"/>
      <c r="W70" s="184"/>
      <c r="X70" s="183">
        <v>20</v>
      </c>
      <c r="Y70" s="183"/>
      <c r="Z70" s="148"/>
      <c r="AA70" s="148"/>
      <c r="AB70" s="148"/>
      <c r="AC70" s="148"/>
      <c r="AD70" s="153">
        <f t="shared" si="9"/>
        <v>20</v>
      </c>
      <c r="AE70" s="153"/>
      <c r="AF70" s="153">
        <f t="shared" si="13"/>
        <v>10</v>
      </c>
      <c r="AG70" s="153"/>
      <c r="AH70" s="153">
        <f t="shared" si="14"/>
        <v>4</v>
      </c>
      <c r="AI70" s="162"/>
      <c r="AJ70" s="39"/>
    </row>
    <row r="71" spans="1:36" x14ac:dyDescent="0.25">
      <c r="A71" s="34"/>
      <c r="B71" s="185" t="s">
        <v>326</v>
      </c>
      <c r="C71" s="186"/>
      <c r="D71" s="187"/>
      <c r="E71" s="187"/>
      <c r="F71" s="188"/>
      <c r="G71" s="147"/>
      <c r="H71" s="147"/>
      <c r="I71" s="147"/>
      <c r="J71" s="147"/>
      <c r="K71" s="147"/>
      <c r="L71" s="147"/>
      <c r="M71" s="157">
        <f t="shared" si="10"/>
        <v>0</v>
      </c>
      <c r="N71" s="157"/>
      <c r="O71" s="157">
        <f t="shared" si="11"/>
        <v>0</v>
      </c>
      <c r="P71" s="157"/>
      <c r="Q71" s="157">
        <f t="shared" si="12"/>
        <v>0</v>
      </c>
      <c r="R71" s="159"/>
      <c r="S71" s="179" t="s">
        <v>322</v>
      </c>
      <c r="T71" s="179"/>
      <c r="U71" s="179"/>
      <c r="V71" s="179"/>
      <c r="W71" s="179"/>
      <c r="X71" s="180">
        <v>20</v>
      </c>
      <c r="Y71" s="180"/>
      <c r="Z71" s="147"/>
      <c r="AA71" s="147"/>
      <c r="AB71" s="147"/>
      <c r="AC71" s="147"/>
      <c r="AD71" s="157">
        <f t="shared" si="9"/>
        <v>20</v>
      </c>
      <c r="AE71" s="157"/>
      <c r="AF71" s="157">
        <f t="shared" si="13"/>
        <v>10</v>
      </c>
      <c r="AG71" s="157"/>
      <c r="AH71" s="157">
        <f t="shared" si="14"/>
        <v>4</v>
      </c>
      <c r="AI71" s="158"/>
      <c r="AJ71" s="39"/>
    </row>
    <row r="72" spans="1:36" x14ac:dyDescent="0.25">
      <c r="A72" s="34"/>
      <c r="B72" s="181" t="s">
        <v>304</v>
      </c>
      <c r="C72" s="182"/>
      <c r="D72" s="182"/>
      <c r="E72" s="182"/>
      <c r="F72" s="182"/>
      <c r="G72" s="183">
        <v>30</v>
      </c>
      <c r="H72" s="183"/>
      <c r="I72" s="148"/>
      <c r="J72" s="148"/>
      <c r="K72" s="148"/>
      <c r="L72" s="148"/>
      <c r="M72" s="153">
        <f t="shared" si="10"/>
        <v>30</v>
      </c>
      <c r="N72" s="153"/>
      <c r="O72" s="153">
        <f t="shared" si="11"/>
        <v>15</v>
      </c>
      <c r="P72" s="153"/>
      <c r="Q72" s="153">
        <f t="shared" si="12"/>
        <v>6</v>
      </c>
      <c r="R72" s="154"/>
      <c r="S72" s="184" t="s">
        <v>318</v>
      </c>
      <c r="T72" s="184"/>
      <c r="U72" s="184"/>
      <c r="V72" s="184"/>
      <c r="W72" s="184"/>
      <c r="X72" s="183">
        <v>10</v>
      </c>
      <c r="Y72" s="183"/>
      <c r="Z72" s="148"/>
      <c r="AA72" s="148"/>
      <c r="AB72" s="148">
        <v>30</v>
      </c>
      <c r="AC72" s="148"/>
      <c r="AD72" s="153">
        <f t="shared" si="9"/>
        <v>40</v>
      </c>
      <c r="AE72" s="153"/>
      <c r="AF72" s="153">
        <f t="shared" si="13"/>
        <v>20</v>
      </c>
      <c r="AG72" s="153"/>
      <c r="AH72" s="153">
        <f t="shared" si="14"/>
        <v>8</v>
      </c>
      <c r="AI72" s="162"/>
      <c r="AJ72" s="39"/>
    </row>
    <row r="73" spans="1:36" x14ac:dyDescent="0.25">
      <c r="A73" s="34"/>
      <c r="B73" s="178" t="s">
        <v>305</v>
      </c>
      <c r="C73" s="179"/>
      <c r="D73" s="179"/>
      <c r="E73" s="179"/>
      <c r="F73" s="179"/>
      <c r="G73" s="180">
        <v>5</v>
      </c>
      <c r="H73" s="180"/>
      <c r="I73" s="147"/>
      <c r="J73" s="147"/>
      <c r="K73" s="147"/>
      <c r="L73" s="147"/>
      <c r="M73" s="157">
        <f t="shared" si="10"/>
        <v>5</v>
      </c>
      <c r="N73" s="157"/>
      <c r="O73" s="157">
        <f t="shared" si="11"/>
        <v>2</v>
      </c>
      <c r="P73" s="157"/>
      <c r="Q73" s="157">
        <f t="shared" si="12"/>
        <v>1</v>
      </c>
      <c r="R73" s="159"/>
      <c r="S73" s="302" t="s">
        <v>343</v>
      </c>
      <c r="T73" s="303"/>
      <c r="U73" s="303"/>
      <c r="V73" s="303"/>
      <c r="W73" s="304"/>
      <c r="X73" s="180">
        <f>LOOKUP(S73,技能专攻!N4:N9,技能专攻!O4:O9)</f>
        <v>1</v>
      </c>
      <c r="Y73" s="180"/>
      <c r="Z73" s="147"/>
      <c r="AA73" s="147"/>
      <c r="AB73" s="147"/>
      <c r="AC73" s="147"/>
      <c r="AD73" s="157">
        <f t="shared" si="9"/>
        <v>1</v>
      </c>
      <c r="AE73" s="157"/>
      <c r="AF73" s="157">
        <f t="shared" si="13"/>
        <v>0</v>
      </c>
      <c r="AG73" s="157"/>
      <c r="AH73" s="157">
        <f t="shared" si="14"/>
        <v>0</v>
      </c>
      <c r="AI73" s="158"/>
      <c r="AJ73" s="39"/>
    </row>
    <row r="74" spans="1:36" x14ac:dyDescent="0.25">
      <c r="A74" s="34"/>
      <c r="B74" s="181" t="s">
        <v>306</v>
      </c>
      <c r="C74" s="182"/>
      <c r="D74" s="182"/>
      <c r="E74" s="182"/>
      <c r="F74" s="182"/>
      <c r="G74" s="183">
        <v>15</v>
      </c>
      <c r="H74" s="183"/>
      <c r="I74" s="148"/>
      <c r="J74" s="148"/>
      <c r="K74" s="148"/>
      <c r="L74" s="148"/>
      <c r="M74" s="153">
        <f t="shared" si="10"/>
        <v>15</v>
      </c>
      <c r="N74" s="153"/>
      <c r="O74" s="153">
        <f t="shared" si="11"/>
        <v>7</v>
      </c>
      <c r="P74" s="153"/>
      <c r="Q74" s="153">
        <f t="shared" si="12"/>
        <v>3</v>
      </c>
      <c r="R74" s="154"/>
      <c r="S74" s="168" t="s">
        <v>730</v>
      </c>
      <c r="T74" s="169"/>
      <c r="U74" s="169"/>
      <c r="V74" s="169"/>
      <c r="W74" s="170"/>
      <c r="X74" s="148">
        <v>20</v>
      </c>
      <c r="Y74" s="148"/>
      <c r="Z74" s="148"/>
      <c r="AA74" s="148"/>
      <c r="AB74" s="148"/>
      <c r="AC74" s="148"/>
      <c r="AD74" s="153">
        <f t="shared" si="9"/>
        <v>20</v>
      </c>
      <c r="AE74" s="153"/>
      <c r="AF74" s="153">
        <f t="shared" si="13"/>
        <v>10</v>
      </c>
      <c r="AG74" s="153"/>
      <c r="AH74" s="153">
        <f t="shared" si="14"/>
        <v>4</v>
      </c>
      <c r="AI74" s="162"/>
      <c r="AJ74" s="39"/>
    </row>
    <row r="75" spans="1:36" x14ac:dyDescent="0.25">
      <c r="A75" s="34"/>
      <c r="B75" s="178" t="s">
        <v>307</v>
      </c>
      <c r="C75" s="179"/>
      <c r="D75" s="179"/>
      <c r="E75" s="179"/>
      <c r="F75" s="179"/>
      <c r="G75" s="180">
        <v>20</v>
      </c>
      <c r="H75" s="180"/>
      <c r="I75" s="147"/>
      <c r="J75" s="147"/>
      <c r="K75" s="147"/>
      <c r="L75" s="147"/>
      <c r="M75" s="157">
        <f t="shared" si="10"/>
        <v>20</v>
      </c>
      <c r="N75" s="157"/>
      <c r="O75" s="157">
        <f t="shared" si="11"/>
        <v>10</v>
      </c>
      <c r="P75" s="157"/>
      <c r="Q75" s="157">
        <f t="shared" si="12"/>
        <v>4</v>
      </c>
      <c r="R75" s="159"/>
      <c r="S75" s="160"/>
      <c r="T75" s="160"/>
      <c r="U75" s="160"/>
      <c r="V75" s="160"/>
      <c r="W75" s="160"/>
      <c r="X75" s="147"/>
      <c r="Y75" s="147"/>
      <c r="Z75" s="147"/>
      <c r="AA75" s="147"/>
      <c r="AB75" s="147"/>
      <c r="AC75" s="147"/>
      <c r="AD75" s="157">
        <f t="shared" si="9"/>
        <v>0</v>
      </c>
      <c r="AE75" s="157"/>
      <c r="AF75" s="157">
        <f t="shared" si="13"/>
        <v>0</v>
      </c>
      <c r="AG75" s="157"/>
      <c r="AH75" s="157">
        <f t="shared" si="14"/>
        <v>0</v>
      </c>
      <c r="AI75" s="158"/>
      <c r="AJ75" s="39"/>
    </row>
    <row r="76" spans="1:36" x14ac:dyDescent="0.25">
      <c r="A76" s="34"/>
      <c r="B76" s="149" t="s">
        <v>415</v>
      </c>
      <c r="C76" s="150"/>
      <c r="D76" s="151"/>
      <c r="E76" s="151"/>
      <c r="F76" s="152"/>
      <c r="G76" s="148">
        <v>1</v>
      </c>
      <c r="H76" s="148"/>
      <c r="I76" s="148"/>
      <c r="J76" s="148"/>
      <c r="K76" s="148"/>
      <c r="L76" s="148"/>
      <c r="M76" s="153">
        <f t="shared" si="10"/>
        <v>1</v>
      </c>
      <c r="N76" s="153"/>
      <c r="O76" s="153">
        <f t="shared" si="11"/>
        <v>0</v>
      </c>
      <c r="P76" s="153"/>
      <c r="Q76" s="153">
        <f t="shared" si="12"/>
        <v>0</v>
      </c>
      <c r="R76" s="154"/>
      <c r="S76" s="161"/>
      <c r="T76" s="161"/>
      <c r="U76" s="161"/>
      <c r="V76" s="161"/>
      <c r="W76" s="161"/>
      <c r="X76" s="148"/>
      <c r="Y76" s="148"/>
      <c r="Z76" s="148"/>
      <c r="AA76" s="148"/>
      <c r="AB76" s="148"/>
      <c r="AC76" s="148"/>
      <c r="AD76" s="153">
        <f t="shared" si="9"/>
        <v>0</v>
      </c>
      <c r="AE76" s="153"/>
      <c r="AF76" s="153">
        <f t="shared" si="13"/>
        <v>0</v>
      </c>
      <c r="AG76" s="153"/>
      <c r="AH76" s="153">
        <f t="shared" si="14"/>
        <v>0</v>
      </c>
      <c r="AI76" s="162"/>
      <c r="AJ76" s="39"/>
    </row>
    <row r="77" spans="1:36" x14ac:dyDescent="0.25">
      <c r="A77" s="34"/>
      <c r="B77" s="174" t="s">
        <v>415</v>
      </c>
      <c r="C77" s="175"/>
      <c r="D77" s="176"/>
      <c r="E77" s="176"/>
      <c r="F77" s="177"/>
      <c r="G77" s="147">
        <v>1</v>
      </c>
      <c r="H77" s="147"/>
      <c r="I77" s="147"/>
      <c r="J77" s="147"/>
      <c r="K77" s="147"/>
      <c r="L77" s="147"/>
      <c r="M77" s="157">
        <f t="shared" si="10"/>
        <v>1</v>
      </c>
      <c r="N77" s="157"/>
      <c r="O77" s="157">
        <f t="shared" si="11"/>
        <v>0</v>
      </c>
      <c r="P77" s="157"/>
      <c r="Q77" s="157">
        <f t="shared" si="12"/>
        <v>0</v>
      </c>
      <c r="R77" s="159"/>
      <c r="S77" s="160"/>
      <c r="T77" s="160"/>
      <c r="U77" s="160"/>
      <c r="V77" s="160"/>
      <c r="W77" s="160"/>
      <c r="X77" s="147"/>
      <c r="Y77" s="147"/>
      <c r="Z77" s="147"/>
      <c r="AA77" s="147"/>
      <c r="AB77" s="147"/>
      <c r="AC77" s="147"/>
      <c r="AD77" s="157">
        <f t="shared" si="9"/>
        <v>0</v>
      </c>
      <c r="AE77" s="157"/>
      <c r="AF77" s="157">
        <f t="shared" si="13"/>
        <v>0</v>
      </c>
      <c r="AG77" s="157"/>
      <c r="AH77" s="157">
        <f t="shared" si="14"/>
        <v>0</v>
      </c>
      <c r="AI77" s="158"/>
      <c r="AJ77" s="39"/>
    </row>
    <row r="78" spans="1:36" x14ac:dyDescent="0.25">
      <c r="A78" s="34"/>
      <c r="B78" s="149" t="s">
        <v>415</v>
      </c>
      <c r="C78" s="150"/>
      <c r="D78" s="151"/>
      <c r="E78" s="151"/>
      <c r="F78" s="152"/>
      <c r="G78" s="148">
        <v>1</v>
      </c>
      <c r="H78" s="148"/>
      <c r="I78" s="148"/>
      <c r="J78" s="148"/>
      <c r="K78" s="148"/>
      <c r="L78" s="148"/>
      <c r="M78" s="153">
        <f t="shared" si="10"/>
        <v>1</v>
      </c>
      <c r="N78" s="153"/>
      <c r="O78" s="153">
        <f t="shared" si="11"/>
        <v>0</v>
      </c>
      <c r="P78" s="153"/>
      <c r="Q78" s="153">
        <f t="shared" si="12"/>
        <v>0</v>
      </c>
      <c r="R78" s="154"/>
      <c r="S78" s="168"/>
      <c r="T78" s="169"/>
      <c r="U78" s="169"/>
      <c r="V78" s="169"/>
      <c r="W78" s="170"/>
      <c r="X78" s="148"/>
      <c r="Y78" s="148"/>
      <c r="Z78" s="148"/>
      <c r="AA78" s="148"/>
      <c r="AB78" s="148"/>
      <c r="AC78" s="148"/>
      <c r="AD78" s="153">
        <f t="shared" si="9"/>
        <v>0</v>
      </c>
      <c r="AE78" s="153"/>
      <c r="AF78" s="153">
        <f t="shared" si="13"/>
        <v>0</v>
      </c>
      <c r="AG78" s="153"/>
      <c r="AH78" s="153">
        <f t="shared" si="14"/>
        <v>0</v>
      </c>
      <c r="AI78" s="162"/>
      <c r="AJ78" s="39"/>
    </row>
    <row r="79" spans="1:36" s="36" customFormat="1" ht="15.6" thickBot="1" x14ac:dyDescent="0.3">
      <c r="A79" s="34"/>
      <c r="B79" s="163" t="s">
        <v>329</v>
      </c>
      <c r="C79" s="164"/>
      <c r="D79" s="165"/>
      <c r="E79" s="165"/>
      <c r="F79" s="166"/>
      <c r="G79" s="167">
        <f>EDU</f>
        <v>75</v>
      </c>
      <c r="H79" s="167"/>
      <c r="I79" s="129"/>
      <c r="J79" s="129"/>
      <c r="K79" s="129"/>
      <c r="L79" s="129"/>
      <c r="M79" s="130">
        <f t="shared" si="10"/>
        <v>75</v>
      </c>
      <c r="N79" s="130"/>
      <c r="O79" s="130">
        <f t="shared" si="11"/>
        <v>37</v>
      </c>
      <c r="P79" s="130"/>
      <c r="Q79" s="130">
        <f t="shared" si="12"/>
        <v>15</v>
      </c>
      <c r="R79" s="131"/>
      <c r="S79" s="171" t="str">
        <f>"剩余职业点数="&amp;LOOKUP(OccNo,职业列表!A2:A116,职业列表!E2:E116)-SUM(I48:J79,Z48:AA79)&amp;"        剩余兴趣点数="&amp;INT*2-SUM(K48:L79,AB48:AC79)</f>
        <v>剩余职业点数=0        剩余兴趣点数=0</v>
      </c>
      <c r="T79" s="172"/>
      <c r="U79" s="172"/>
      <c r="V79" s="172"/>
      <c r="W79" s="172"/>
      <c r="X79" s="172"/>
      <c r="Y79" s="172"/>
      <c r="Z79" s="172"/>
      <c r="AA79" s="172"/>
      <c r="AB79" s="172"/>
      <c r="AC79" s="172"/>
      <c r="AD79" s="172"/>
      <c r="AE79" s="172"/>
      <c r="AF79" s="172"/>
      <c r="AG79" s="172"/>
      <c r="AH79" s="172"/>
      <c r="AI79" s="173"/>
      <c r="AJ79" s="35"/>
    </row>
    <row r="80" spans="1:36" s="36" customFormat="1" x14ac:dyDescent="0.25">
      <c r="A80" s="34"/>
      <c r="B80" s="314" t="s">
        <v>712</v>
      </c>
      <c r="C80" s="314"/>
      <c r="D80" s="314"/>
      <c r="E80" s="314"/>
      <c r="F80" s="314"/>
      <c r="G80" s="314"/>
      <c r="H80" s="314"/>
      <c r="I80" s="314"/>
      <c r="J80" s="314"/>
      <c r="K80" s="314"/>
      <c r="L80" s="314"/>
      <c r="M80" s="314"/>
      <c r="N80" s="314"/>
      <c r="O80" s="315" t="s">
        <v>590</v>
      </c>
      <c r="P80" s="315"/>
      <c r="Q80" s="315"/>
      <c r="R80" s="315"/>
      <c r="S80" s="315"/>
      <c r="T80" s="315"/>
      <c r="U80" s="315"/>
      <c r="V80" s="315"/>
      <c r="W80" s="314"/>
      <c r="X80" s="314"/>
      <c r="Y80" s="314"/>
      <c r="Z80" s="314"/>
      <c r="AA80" s="314"/>
      <c r="AB80" s="314"/>
      <c r="AC80" s="314"/>
      <c r="AD80" s="314"/>
      <c r="AE80" s="314"/>
      <c r="AF80" s="314"/>
      <c r="AG80" s="314"/>
      <c r="AH80" s="314"/>
      <c r="AI80" s="314"/>
      <c r="AJ80" s="35"/>
    </row>
    <row r="81" spans="1:36" s="36" customFormat="1" x14ac:dyDescent="0.25">
      <c r="A81" s="34"/>
      <c r="B81" s="124"/>
      <c r="C81" s="124"/>
      <c r="D81" s="124"/>
      <c r="E81" s="124"/>
      <c r="F81" s="124"/>
      <c r="G81" s="124"/>
      <c r="H81" s="124"/>
      <c r="I81" s="124"/>
      <c r="J81" s="124"/>
      <c r="K81" s="124"/>
      <c r="L81" s="124"/>
      <c r="M81" s="124"/>
      <c r="N81" s="124"/>
      <c r="O81" s="124"/>
      <c r="P81" s="124"/>
      <c r="Q81" s="124"/>
      <c r="R81" s="124"/>
      <c r="S81" s="124"/>
      <c r="T81" s="124"/>
      <c r="U81" s="124"/>
      <c r="V81" s="124"/>
      <c r="W81" s="124"/>
      <c r="X81" s="124"/>
      <c r="Y81" s="124"/>
      <c r="Z81" s="124"/>
      <c r="AA81" s="124"/>
      <c r="AB81" s="124"/>
      <c r="AC81" s="124"/>
      <c r="AD81" s="124"/>
      <c r="AE81" s="124"/>
      <c r="AF81" s="124"/>
      <c r="AG81" s="124"/>
      <c r="AH81" s="124"/>
      <c r="AI81" s="124"/>
      <c r="AJ81" s="35"/>
    </row>
    <row r="82" spans="1:36" s="36" customFormat="1" ht="27.6" x14ac:dyDescent="0.25">
      <c r="A82" s="34"/>
      <c r="B82" s="296" t="s">
        <v>576</v>
      </c>
      <c r="C82" s="296"/>
      <c r="D82" s="296"/>
      <c r="E82" s="296"/>
      <c r="F82" s="296"/>
      <c r="G82" s="296"/>
      <c r="H82" s="296"/>
      <c r="I82" s="296"/>
      <c r="J82" s="296"/>
      <c r="K82" s="296"/>
      <c r="L82" s="124"/>
      <c r="M82" s="124"/>
      <c r="N82" s="124"/>
      <c r="O82" s="124"/>
      <c r="P82" s="124"/>
      <c r="Q82" s="124"/>
      <c r="R82" s="124"/>
      <c r="S82" s="124"/>
      <c r="T82" s="124"/>
      <c r="U82" s="124"/>
      <c r="V82" s="124"/>
      <c r="W82" s="124"/>
      <c r="X82" s="124"/>
      <c r="Y82" s="124"/>
      <c r="Z82" s="124"/>
      <c r="AA82" s="124"/>
      <c r="AB82" s="124"/>
      <c r="AC82" s="124"/>
      <c r="AD82" s="124"/>
      <c r="AE82" s="124"/>
      <c r="AF82" s="124"/>
      <c r="AG82" s="124"/>
      <c r="AH82" s="124"/>
      <c r="AI82" s="124"/>
      <c r="AJ82" s="35"/>
    </row>
    <row r="83" spans="1:36" s="36" customFormat="1" ht="15.6" x14ac:dyDescent="0.25">
      <c r="A83" s="34"/>
      <c r="B83" s="297" t="s">
        <v>714</v>
      </c>
      <c r="C83" s="297"/>
      <c r="D83" s="297"/>
      <c r="E83" s="297"/>
      <c r="F83" s="297"/>
      <c r="G83" s="297"/>
      <c r="H83" s="297"/>
      <c r="I83" s="297"/>
      <c r="J83" s="297"/>
      <c r="K83" s="297"/>
      <c r="L83" s="124" t="s">
        <v>713</v>
      </c>
      <c r="M83" s="124"/>
      <c r="N83" s="124"/>
      <c r="O83" s="124"/>
      <c r="P83" s="124"/>
      <c r="Q83" s="124"/>
      <c r="R83" s="124"/>
      <c r="S83" s="124"/>
      <c r="T83" s="124"/>
      <c r="U83" s="124"/>
      <c r="V83" s="124"/>
      <c r="W83" s="124"/>
      <c r="X83" s="124"/>
      <c r="Y83" s="124"/>
      <c r="Z83" s="124"/>
      <c r="AA83" s="124"/>
      <c r="AB83" s="124"/>
      <c r="AC83" s="124"/>
      <c r="AD83" s="124"/>
      <c r="AE83" s="124"/>
      <c r="AF83" s="124"/>
      <c r="AG83" s="124"/>
      <c r="AH83" s="124"/>
      <c r="AI83" s="124"/>
      <c r="AJ83" s="35"/>
    </row>
    <row r="84" spans="1:36" s="36" customFormat="1" ht="15.6" x14ac:dyDescent="0.25">
      <c r="A84" s="34"/>
      <c r="B84" s="124" t="s">
        <v>615</v>
      </c>
      <c r="C84" s="124"/>
      <c r="D84" s="124"/>
      <c r="E84" s="124"/>
      <c r="F84" s="124"/>
      <c r="G84" s="124"/>
      <c r="H84" s="124"/>
      <c r="I84" s="124"/>
      <c r="J84" s="124"/>
      <c r="K84" s="124"/>
      <c r="L84" s="124"/>
      <c r="M84" s="124"/>
      <c r="N84" s="124"/>
      <c r="O84" s="124"/>
      <c r="P84" s="124"/>
      <c r="Q84" s="124"/>
      <c r="R84" s="124"/>
      <c r="S84" s="124"/>
      <c r="T84" s="124"/>
      <c r="U84" s="124"/>
      <c r="V84" s="124"/>
      <c r="W84" s="124"/>
      <c r="X84" s="124"/>
      <c r="Y84" s="124"/>
      <c r="Z84" s="124"/>
      <c r="AA84" s="124"/>
      <c r="AB84" s="124"/>
      <c r="AC84" s="124"/>
      <c r="AD84" s="124"/>
      <c r="AE84" s="124"/>
      <c r="AF84" s="124"/>
      <c r="AG84" s="124"/>
      <c r="AH84" s="124"/>
      <c r="AI84" s="124"/>
      <c r="AJ84" s="35"/>
    </row>
    <row r="85" spans="1:36" s="36" customFormat="1" ht="15.6" x14ac:dyDescent="0.25">
      <c r="A85" s="34"/>
      <c r="B85" s="124" t="s">
        <v>721</v>
      </c>
      <c r="C85" s="124"/>
      <c r="D85" s="124"/>
      <c r="E85" s="124"/>
      <c r="F85" s="124"/>
      <c r="G85" s="124"/>
      <c r="H85" s="124"/>
      <c r="I85" s="124"/>
      <c r="J85" s="124"/>
      <c r="K85" s="124"/>
      <c r="L85" s="124"/>
      <c r="M85" s="124"/>
      <c r="N85" s="124"/>
      <c r="O85" s="124"/>
      <c r="P85" s="124"/>
      <c r="Q85" s="124"/>
      <c r="R85" s="124"/>
      <c r="S85" s="124"/>
      <c r="T85" s="124"/>
      <c r="U85" s="124"/>
      <c r="V85" s="124"/>
      <c r="W85" s="124"/>
      <c r="X85" s="124"/>
      <c r="Y85" s="124"/>
      <c r="Z85" s="124"/>
      <c r="AA85" s="124"/>
      <c r="AB85" s="124"/>
      <c r="AC85" s="124"/>
      <c r="AD85" s="124"/>
      <c r="AE85" s="124"/>
      <c r="AF85" s="124"/>
      <c r="AG85" s="124"/>
      <c r="AH85" s="124"/>
      <c r="AI85" s="124"/>
      <c r="AJ85" s="122"/>
    </row>
    <row r="86" spans="1:36" s="36" customFormat="1" x14ac:dyDescent="0.25">
      <c r="A86" s="34"/>
      <c r="B86" s="124" t="s">
        <v>582</v>
      </c>
      <c r="C86" s="124"/>
      <c r="D86" s="124"/>
      <c r="E86" s="124"/>
      <c r="F86" s="124"/>
      <c r="G86" s="124"/>
      <c r="H86" s="124"/>
      <c r="I86" s="124"/>
      <c r="J86" s="124"/>
      <c r="K86" s="124"/>
      <c r="L86" s="124"/>
      <c r="M86" s="124"/>
      <c r="N86" s="124"/>
      <c r="O86" s="124"/>
      <c r="P86" s="124"/>
      <c r="Q86" s="124"/>
      <c r="R86" s="124"/>
      <c r="S86" s="124"/>
      <c r="T86" s="124"/>
      <c r="U86" s="124"/>
      <c r="V86" s="124"/>
      <c r="W86" s="124"/>
      <c r="X86" s="124"/>
      <c r="Y86" s="124"/>
      <c r="Z86" s="124"/>
      <c r="AA86" s="124"/>
      <c r="AB86" s="124"/>
      <c r="AC86" s="124"/>
      <c r="AD86" s="124"/>
      <c r="AE86" s="124"/>
      <c r="AF86" s="124"/>
      <c r="AG86" s="124"/>
      <c r="AH86" s="124"/>
      <c r="AI86" s="124"/>
      <c r="AJ86" s="35"/>
    </row>
    <row r="87" spans="1:36" s="36" customFormat="1" x14ac:dyDescent="0.25">
      <c r="A87" s="34"/>
      <c r="B87" s="81"/>
      <c r="C87" s="81"/>
      <c r="D87" s="81"/>
      <c r="E87" s="81"/>
      <c r="F87" s="81"/>
      <c r="G87" s="81"/>
      <c r="H87" s="81"/>
      <c r="I87" s="81"/>
      <c r="J87" s="81"/>
      <c r="K87" s="81"/>
      <c r="L87" s="81"/>
      <c r="M87" s="81"/>
      <c r="N87" s="81"/>
      <c r="O87" s="81"/>
      <c r="P87" s="81"/>
      <c r="Q87" s="81"/>
      <c r="R87" s="81"/>
      <c r="S87" s="81"/>
      <c r="T87" s="81"/>
      <c r="U87" s="81"/>
      <c r="V87" s="81"/>
      <c r="W87" s="81"/>
      <c r="X87" s="81"/>
      <c r="Y87" s="81"/>
      <c r="Z87" s="81"/>
      <c r="AA87" s="81"/>
      <c r="AB87" s="81"/>
      <c r="AC87" s="81"/>
      <c r="AD87" s="81"/>
      <c r="AE87" s="81"/>
      <c r="AF87" s="81"/>
      <c r="AG87" s="35"/>
      <c r="AH87" s="35"/>
      <c r="AI87" s="35"/>
      <c r="AJ87" s="35"/>
    </row>
    <row r="88" spans="1:36" s="36" customFormat="1" ht="27.6" x14ac:dyDescent="0.25">
      <c r="A88" s="34"/>
      <c r="B88" s="296" t="s">
        <v>583</v>
      </c>
      <c r="C88" s="296"/>
      <c r="D88" s="296"/>
      <c r="E88" s="296"/>
      <c r="F88" s="296"/>
      <c r="G88" s="296"/>
      <c r="H88" s="296"/>
      <c r="I88" s="296"/>
      <c r="J88" s="296"/>
      <c r="K88" s="296"/>
      <c r="L88" s="124"/>
      <c r="M88" s="124"/>
      <c r="N88" s="124"/>
      <c r="O88" s="124"/>
      <c r="P88" s="124"/>
      <c r="Q88" s="124"/>
      <c r="R88" s="124"/>
      <c r="S88" s="124"/>
      <c r="T88" s="124"/>
      <c r="U88" s="124"/>
      <c r="V88" s="124"/>
      <c r="W88" s="124"/>
      <c r="X88" s="124"/>
      <c r="Y88" s="124"/>
      <c r="Z88" s="124"/>
      <c r="AA88" s="124"/>
      <c r="AB88" s="124"/>
      <c r="AC88" s="124"/>
      <c r="AD88" s="124"/>
      <c r="AE88" s="124"/>
      <c r="AF88" s="124"/>
      <c r="AG88" s="124"/>
      <c r="AH88" s="124"/>
      <c r="AI88" s="124"/>
      <c r="AJ88" s="35"/>
    </row>
    <row r="89" spans="1:36" s="36" customFormat="1" ht="15.6" x14ac:dyDescent="0.25">
      <c r="A89" s="34"/>
      <c r="B89" s="124" t="s">
        <v>717</v>
      </c>
      <c r="C89" s="124"/>
      <c r="D89" s="124"/>
      <c r="E89" s="124"/>
      <c r="F89" s="124"/>
      <c r="G89" s="124"/>
      <c r="H89" s="124"/>
      <c r="I89" s="124"/>
      <c r="J89" s="124"/>
      <c r="K89" s="124"/>
      <c r="L89" s="124"/>
      <c r="M89" s="124"/>
      <c r="N89" s="124"/>
      <c r="O89" s="124"/>
      <c r="P89" s="316" t="s">
        <v>697</v>
      </c>
      <c r="Q89" s="316"/>
      <c r="R89" s="316"/>
      <c r="S89" s="316"/>
      <c r="T89" s="316"/>
      <c r="U89" s="316"/>
      <c r="V89" s="316"/>
      <c r="W89" s="316"/>
      <c r="X89" s="316"/>
      <c r="Y89" s="316"/>
      <c r="Z89" s="316"/>
      <c r="AA89" s="124"/>
      <c r="AB89" s="124"/>
      <c r="AC89" s="124"/>
      <c r="AD89" s="124"/>
      <c r="AE89" s="124"/>
      <c r="AF89" s="124"/>
      <c r="AG89" s="124"/>
      <c r="AH89" s="124"/>
      <c r="AI89" s="124"/>
      <c r="AJ89" s="81"/>
    </row>
    <row r="90" spans="1:36" s="36" customFormat="1" x14ac:dyDescent="0.25">
      <c r="A90" s="34"/>
      <c r="B90" s="297" t="s">
        <v>716</v>
      </c>
      <c r="C90" s="297"/>
      <c r="D90" s="297"/>
      <c r="E90" s="297"/>
      <c r="F90" s="297"/>
      <c r="G90" s="297"/>
      <c r="H90" s="297"/>
      <c r="I90" s="297"/>
      <c r="J90" s="297"/>
      <c r="K90" s="297"/>
      <c r="L90" s="124" t="s">
        <v>588</v>
      </c>
      <c r="M90" s="124"/>
      <c r="N90" s="124"/>
      <c r="O90" s="124"/>
      <c r="P90" s="124"/>
      <c r="Q90" s="124"/>
      <c r="R90" s="124"/>
      <c r="S90" s="124"/>
      <c r="T90" s="124"/>
      <c r="U90" s="124"/>
      <c r="V90" s="124"/>
      <c r="W90" s="124"/>
      <c r="X90" s="124"/>
      <c r="Y90" s="124"/>
      <c r="Z90" s="124"/>
      <c r="AA90" s="124"/>
      <c r="AB90" s="124"/>
      <c r="AC90" s="124"/>
      <c r="AD90" s="124"/>
      <c r="AE90" s="124"/>
      <c r="AF90" s="124"/>
      <c r="AG90" s="124"/>
      <c r="AH90" s="124"/>
      <c r="AI90" s="124"/>
      <c r="AJ90" s="81"/>
    </row>
    <row r="91" spans="1:36" s="36" customFormat="1" x14ac:dyDescent="0.25">
      <c r="A91" s="34"/>
      <c r="B91" s="297" t="s">
        <v>715</v>
      </c>
      <c r="C91" s="297"/>
      <c r="D91" s="297"/>
      <c r="E91" s="297"/>
      <c r="F91" s="297"/>
      <c r="G91" s="297"/>
      <c r="H91" s="297"/>
      <c r="I91" s="297"/>
      <c r="J91" s="297"/>
      <c r="K91" s="297"/>
      <c r="L91" s="297"/>
      <c r="M91" s="124" t="s">
        <v>589</v>
      </c>
      <c r="N91" s="124"/>
      <c r="O91" s="124"/>
      <c r="P91" s="124"/>
      <c r="Q91" s="124"/>
      <c r="R91" s="124"/>
      <c r="S91" s="124"/>
      <c r="T91" s="124"/>
      <c r="U91" s="124"/>
      <c r="V91" s="124"/>
      <c r="W91" s="124"/>
      <c r="X91" s="124"/>
      <c r="Y91" s="124"/>
      <c r="Z91" s="124"/>
      <c r="AA91" s="124"/>
      <c r="AB91" s="124"/>
      <c r="AC91" s="124"/>
      <c r="AD91" s="124"/>
      <c r="AE91" s="124"/>
      <c r="AF91" s="124"/>
      <c r="AG91" s="124"/>
      <c r="AH91" s="124"/>
      <c r="AI91" s="124"/>
      <c r="AJ91" s="81"/>
    </row>
    <row r="92" spans="1:36" s="36" customFormat="1" x14ac:dyDescent="0.25">
      <c r="A92" s="34"/>
      <c r="B92" s="124"/>
      <c r="C92" s="124"/>
      <c r="D92" s="124"/>
      <c r="E92" s="124"/>
      <c r="F92" s="124"/>
      <c r="G92" s="124"/>
      <c r="H92" s="124"/>
      <c r="I92" s="124"/>
      <c r="J92" s="124"/>
      <c r="K92" s="124"/>
      <c r="L92" s="124"/>
      <c r="M92" s="124"/>
      <c r="N92" s="124"/>
      <c r="O92" s="124"/>
      <c r="P92" s="124"/>
      <c r="Q92" s="124"/>
      <c r="R92" s="124"/>
      <c r="S92" s="124"/>
      <c r="T92" s="124"/>
      <c r="U92" s="124"/>
      <c r="V92" s="124"/>
      <c r="W92" s="124"/>
      <c r="X92" s="124"/>
      <c r="Y92" s="124"/>
      <c r="Z92" s="124"/>
      <c r="AA92" s="124"/>
      <c r="AB92" s="124"/>
      <c r="AC92" s="124"/>
      <c r="AD92" s="124"/>
      <c r="AE92" s="124"/>
      <c r="AF92" s="124"/>
      <c r="AG92" s="124"/>
      <c r="AH92" s="124"/>
      <c r="AI92" s="124"/>
      <c r="AJ92" s="81"/>
    </row>
    <row r="93" spans="1:36" s="36" customFormat="1" ht="15.6" x14ac:dyDescent="0.25">
      <c r="A93" s="34"/>
      <c r="B93" s="124" t="s">
        <v>718</v>
      </c>
      <c r="C93" s="124"/>
      <c r="D93" s="124"/>
      <c r="E93" s="124"/>
      <c r="F93" s="124"/>
      <c r="G93" s="124"/>
      <c r="H93" s="124"/>
      <c r="I93" s="124"/>
      <c r="J93" s="124"/>
      <c r="K93" s="124"/>
      <c r="L93" s="124"/>
      <c r="M93" s="124"/>
      <c r="N93" s="124"/>
      <c r="O93" s="124"/>
      <c r="P93" s="124"/>
      <c r="Q93" s="124"/>
      <c r="R93" s="124"/>
      <c r="S93" s="124"/>
      <c r="T93" s="124"/>
      <c r="U93" s="124"/>
      <c r="V93" s="124"/>
      <c r="W93" s="124"/>
      <c r="X93" s="124"/>
      <c r="Y93" s="124"/>
      <c r="Z93" s="124"/>
      <c r="AA93" s="124"/>
      <c r="AB93" s="124"/>
      <c r="AC93" s="124"/>
      <c r="AD93" s="124"/>
      <c r="AE93" s="124"/>
      <c r="AF93" s="124"/>
      <c r="AG93" s="124"/>
      <c r="AH93" s="124"/>
      <c r="AI93" s="124"/>
      <c r="AJ93" s="81"/>
    </row>
    <row r="94" spans="1:36" s="36" customFormat="1" ht="15.6" x14ac:dyDescent="0.25">
      <c r="A94" s="34"/>
      <c r="B94" s="124" t="s">
        <v>616</v>
      </c>
      <c r="C94" s="124"/>
      <c r="D94" s="124"/>
      <c r="E94" s="124"/>
      <c r="F94" s="124"/>
      <c r="G94" s="124"/>
      <c r="H94" s="124"/>
      <c r="I94" s="124"/>
      <c r="J94" s="124"/>
      <c r="K94" s="124"/>
      <c r="L94" s="124"/>
      <c r="M94" s="124"/>
      <c r="N94" s="124"/>
      <c r="O94" s="124"/>
      <c r="P94" s="124"/>
      <c r="Q94" s="124"/>
      <c r="R94" s="124"/>
      <c r="S94" s="124"/>
      <c r="T94" s="124"/>
      <c r="U94" s="124"/>
      <c r="V94" s="124"/>
      <c r="W94" s="124"/>
      <c r="X94" s="297" t="s">
        <v>598</v>
      </c>
      <c r="Y94" s="297"/>
      <c r="Z94" s="297"/>
      <c r="AA94" s="297"/>
      <c r="AB94" s="297"/>
      <c r="AC94" s="297"/>
      <c r="AD94" s="297"/>
      <c r="AE94" s="297"/>
      <c r="AF94" s="297"/>
      <c r="AG94" s="297"/>
      <c r="AH94" s="297"/>
      <c r="AI94" s="297"/>
      <c r="AJ94" s="81"/>
    </row>
    <row r="95" spans="1:36" s="36" customFormat="1" x14ac:dyDescent="0.25">
      <c r="A95" s="34"/>
      <c r="B95" s="81"/>
      <c r="C95" s="81"/>
      <c r="D95" s="81"/>
      <c r="E95" s="81"/>
      <c r="F95" s="81"/>
      <c r="G95" s="81"/>
      <c r="H95" s="81"/>
      <c r="I95" s="81"/>
      <c r="J95" s="81"/>
      <c r="K95" s="81"/>
      <c r="L95" s="81"/>
      <c r="M95" s="81"/>
      <c r="N95" s="81"/>
      <c r="O95" s="81"/>
      <c r="P95" s="81"/>
      <c r="Q95" s="81"/>
      <c r="R95" s="81"/>
      <c r="S95" s="81"/>
      <c r="T95" s="81"/>
      <c r="U95" s="81"/>
      <c r="V95" s="81"/>
      <c r="W95" s="81"/>
      <c r="X95" s="81"/>
      <c r="Y95" s="81"/>
      <c r="Z95" s="81"/>
      <c r="AA95" s="81"/>
      <c r="AB95" s="81"/>
      <c r="AC95" s="81"/>
      <c r="AD95" s="81"/>
      <c r="AE95" s="81"/>
      <c r="AF95" s="81"/>
      <c r="AG95" s="81"/>
      <c r="AH95" s="81"/>
      <c r="AI95" s="81"/>
      <c r="AJ95" s="81"/>
    </row>
    <row r="96" spans="1:36" s="36" customFormat="1" ht="27.6" x14ac:dyDescent="0.25">
      <c r="A96" s="34"/>
      <c r="B96" s="296" t="s">
        <v>602</v>
      </c>
      <c r="C96" s="296"/>
      <c r="D96" s="296"/>
      <c r="E96" s="296"/>
      <c r="F96" s="296"/>
      <c r="G96" s="296"/>
      <c r="H96" s="296"/>
      <c r="I96" s="296"/>
      <c r="J96" s="296"/>
      <c r="K96" s="296"/>
      <c r="L96" s="124"/>
      <c r="M96" s="124"/>
      <c r="N96" s="124"/>
      <c r="O96" s="124"/>
      <c r="P96" s="124"/>
      <c r="Q96" s="124"/>
      <c r="R96" s="124"/>
      <c r="S96" s="124"/>
      <c r="T96" s="124"/>
      <c r="U96" s="124"/>
      <c r="V96" s="124"/>
      <c r="W96" s="124"/>
      <c r="X96" s="124"/>
      <c r="Y96" s="124"/>
      <c r="Z96" s="124"/>
      <c r="AA96" s="124"/>
      <c r="AB96" s="124"/>
      <c r="AC96" s="124"/>
      <c r="AD96" s="124"/>
      <c r="AE96" s="124"/>
      <c r="AF96" s="124"/>
      <c r="AG96" s="124"/>
      <c r="AH96" s="124"/>
      <c r="AI96" s="124"/>
      <c r="AJ96" s="35"/>
    </row>
    <row r="97" spans="1:36" s="36" customFormat="1" x14ac:dyDescent="0.25">
      <c r="A97" s="34"/>
      <c r="B97" s="124" t="s">
        <v>603</v>
      </c>
      <c r="C97" s="124"/>
      <c r="D97" s="124"/>
      <c r="E97" s="124"/>
      <c r="F97" s="124"/>
      <c r="G97" s="124"/>
      <c r="H97" s="124"/>
      <c r="I97" s="124"/>
      <c r="J97" s="124"/>
      <c r="K97" s="124"/>
      <c r="L97" s="124"/>
      <c r="M97" s="124"/>
      <c r="N97" s="124"/>
      <c r="O97" s="124"/>
      <c r="P97" s="124"/>
      <c r="Q97" s="124"/>
      <c r="R97" s="124"/>
      <c r="S97" s="124"/>
      <c r="T97" s="124"/>
      <c r="U97" s="124"/>
      <c r="V97" s="124"/>
      <c r="W97" s="124"/>
      <c r="X97" s="124"/>
      <c r="Y97" s="124"/>
      <c r="Z97" s="124"/>
      <c r="AA97" s="124"/>
      <c r="AB97" s="124"/>
      <c r="AC97" s="124"/>
      <c r="AD97" s="124"/>
      <c r="AE97" s="124"/>
      <c r="AF97" s="124"/>
      <c r="AG97" s="124"/>
      <c r="AH97" s="124"/>
      <c r="AI97" s="124"/>
      <c r="AJ97" s="35"/>
    </row>
    <row r="98" spans="1:36" s="36" customFormat="1" x14ac:dyDescent="0.25">
      <c r="A98" s="34"/>
      <c r="B98" s="124" t="s">
        <v>612</v>
      </c>
      <c r="C98" s="124"/>
      <c r="D98" s="124"/>
      <c r="E98" s="124"/>
      <c r="F98" s="124"/>
      <c r="G98" s="124"/>
      <c r="H98" s="124"/>
      <c r="I98" s="124"/>
      <c r="J98" s="124"/>
      <c r="K98" s="124"/>
      <c r="L98" s="124"/>
      <c r="M98" s="124"/>
      <c r="N98" s="124"/>
      <c r="O98" s="124"/>
      <c r="P98" s="124"/>
      <c r="Q98" s="124"/>
      <c r="R98" s="124"/>
      <c r="S98" s="124"/>
      <c r="T98" s="124"/>
      <c r="U98" s="124"/>
      <c r="V98" s="124"/>
      <c r="W98" s="124"/>
      <c r="X98" s="124"/>
      <c r="Y98" s="124"/>
      <c r="Z98" s="124"/>
      <c r="AA98" s="124"/>
      <c r="AB98" s="124"/>
      <c r="AC98" s="124"/>
      <c r="AD98" s="124"/>
      <c r="AE98" s="124"/>
      <c r="AF98" s="124"/>
      <c r="AG98" s="124"/>
      <c r="AH98" s="124"/>
      <c r="AI98" s="124"/>
      <c r="AJ98" s="81"/>
    </row>
    <row r="99" spans="1:36" s="36" customFormat="1" x14ac:dyDescent="0.25">
      <c r="A99" s="34"/>
      <c r="B99" s="124" t="s">
        <v>604</v>
      </c>
      <c r="C99" s="124"/>
      <c r="D99" s="124"/>
      <c r="E99" s="124"/>
      <c r="F99" s="124"/>
      <c r="G99" s="124"/>
      <c r="H99" s="124"/>
      <c r="I99" s="124"/>
      <c r="J99" s="124"/>
      <c r="K99" s="124"/>
      <c r="L99" s="124"/>
      <c r="M99" s="124"/>
      <c r="N99" s="124"/>
      <c r="O99" s="124"/>
      <c r="P99" s="124"/>
      <c r="Q99" s="124"/>
      <c r="R99" s="124"/>
      <c r="S99" s="124"/>
      <c r="T99" s="124"/>
      <c r="U99" s="124"/>
      <c r="V99" s="124"/>
      <c r="W99" s="124"/>
      <c r="X99" s="124"/>
      <c r="Y99" s="124"/>
      <c r="Z99" s="124"/>
      <c r="AA99" s="124"/>
      <c r="AB99" s="124"/>
      <c r="AC99" s="124"/>
      <c r="AD99" s="124"/>
      <c r="AE99" s="124"/>
      <c r="AF99" s="124"/>
      <c r="AG99" s="124"/>
      <c r="AH99" s="124"/>
      <c r="AI99" s="124"/>
      <c r="AJ99" s="35"/>
    </row>
    <row r="100" spans="1:36" s="36" customFormat="1" ht="15.6" x14ac:dyDescent="0.25">
      <c r="A100" s="34"/>
      <c r="B100" s="124" t="s">
        <v>608</v>
      </c>
      <c r="C100" s="124"/>
      <c r="D100" s="124"/>
      <c r="E100" s="124"/>
      <c r="F100" s="124"/>
      <c r="G100" s="124"/>
      <c r="H100" s="124"/>
      <c r="I100" s="124"/>
      <c r="J100" s="124"/>
      <c r="K100" s="124"/>
      <c r="L100" s="124"/>
      <c r="M100" s="124"/>
      <c r="N100" s="124"/>
      <c r="O100" s="124"/>
      <c r="P100" s="124"/>
      <c r="Q100" s="124"/>
      <c r="R100" s="124"/>
      <c r="S100" s="124"/>
      <c r="T100" s="124"/>
      <c r="U100" s="124"/>
      <c r="V100" s="124"/>
      <c r="W100" s="124"/>
      <c r="X100" s="124"/>
      <c r="Y100" s="124"/>
      <c r="Z100" s="124"/>
      <c r="AA100" s="124"/>
      <c r="AB100" s="124"/>
      <c r="AC100" s="124"/>
      <c r="AD100" s="124"/>
      <c r="AE100" s="124"/>
      <c r="AF100" s="124"/>
      <c r="AG100" s="124"/>
      <c r="AH100" s="124"/>
      <c r="AI100" s="124"/>
      <c r="AJ100" s="35"/>
    </row>
    <row r="101" spans="1:36" s="36" customFormat="1" x14ac:dyDescent="0.25">
      <c r="A101" s="34"/>
      <c r="B101" s="124" t="s">
        <v>706</v>
      </c>
      <c r="C101" s="124"/>
      <c r="D101" s="351"/>
      <c r="E101" s="351"/>
      <c r="F101" s="351"/>
      <c r="G101" s="351"/>
      <c r="H101" s="351"/>
      <c r="I101" s="351"/>
      <c r="J101" s="351"/>
      <c r="K101" s="351"/>
      <c r="L101" s="351"/>
      <c r="M101" s="351"/>
      <c r="N101" s="351"/>
      <c r="O101" s="351"/>
      <c r="P101" s="351"/>
      <c r="Q101" s="351"/>
      <c r="R101" s="351"/>
      <c r="S101" s="351"/>
      <c r="T101" s="351"/>
      <c r="U101" s="351"/>
      <c r="V101" s="351"/>
      <c r="W101" s="351"/>
      <c r="X101" s="351"/>
      <c r="Y101" s="351"/>
      <c r="Z101" s="351"/>
      <c r="AA101" s="351"/>
      <c r="AB101" s="351"/>
      <c r="AC101" s="351"/>
      <c r="AD101" s="351"/>
      <c r="AE101" s="351"/>
      <c r="AF101" s="351"/>
      <c r="AG101" s="351"/>
      <c r="AH101" s="351"/>
      <c r="AI101" s="351"/>
      <c r="AJ101" s="35"/>
    </row>
    <row r="102" spans="1:36" s="36" customFormat="1" x14ac:dyDescent="0.25">
      <c r="A102" s="34"/>
      <c r="B102" s="124"/>
      <c r="C102" s="124"/>
      <c r="D102" s="351"/>
      <c r="E102" s="351"/>
      <c r="F102" s="351"/>
      <c r="G102" s="351"/>
      <c r="H102" s="351"/>
      <c r="I102" s="351"/>
      <c r="J102" s="351"/>
      <c r="K102" s="351"/>
      <c r="L102" s="351"/>
      <c r="M102" s="351"/>
      <c r="N102" s="351"/>
      <c r="O102" s="351"/>
      <c r="P102" s="351"/>
      <c r="Q102" s="351"/>
      <c r="R102" s="351"/>
      <c r="S102" s="351"/>
      <c r="T102" s="351"/>
      <c r="U102" s="351"/>
      <c r="V102" s="351"/>
      <c r="W102" s="351"/>
      <c r="X102" s="351"/>
      <c r="Y102" s="351"/>
      <c r="Z102" s="351"/>
      <c r="AA102" s="351"/>
      <c r="AB102" s="351"/>
      <c r="AC102" s="351"/>
      <c r="AD102" s="351"/>
      <c r="AE102" s="351"/>
      <c r="AF102" s="351"/>
      <c r="AG102" s="351"/>
      <c r="AH102" s="351"/>
      <c r="AI102" s="351"/>
      <c r="AJ102" s="81"/>
    </row>
    <row r="103" spans="1:36" s="36" customFormat="1" x14ac:dyDescent="0.25">
      <c r="A103" s="34"/>
      <c r="B103" s="124" t="s">
        <v>724</v>
      </c>
      <c r="C103" s="124"/>
      <c r="D103" s="124"/>
      <c r="E103" s="124"/>
      <c r="F103" s="124"/>
      <c r="G103" s="124"/>
      <c r="H103" s="124"/>
      <c r="I103" s="124"/>
      <c r="J103" s="124"/>
      <c r="K103" s="124"/>
      <c r="L103" s="124"/>
      <c r="M103" s="124"/>
      <c r="N103" s="124"/>
      <c r="O103" s="124"/>
      <c r="P103" s="124"/>
      <c r="Q103" s="124"/>
      <c r="R103" s="124"/>
      <c r="S103" s="124"/>
      <c r="T103" s="124"/>
      <c r="U103" s="124"/>
      <c r="V103" s="124"/>
      <c r="W103" s="124"/>
      <c r="X103" s="124"/>
      <c r="Y103" s="124"/>
      <c r="Z103" s="124"/>
      <c r="AA103" s="124"/>
      <c r="AB103" s="124"/>
      <c r="AC103" s="124"/>
      <c r="AD103" s="124"/>
      <c r="AE103" s="124"/>
      <c r="AF103" s="124"/>
      <c r="AG103" s="124"/>
      <c r="AH103" s="124"/>
      <c r="AI103" s="124"/>
      <c r="AJ103" s="117"/>
    </row>
    <row r="104" spans="1:36" s="36" customFormat="1" x14ac:dyDescent="0.25">
      <c r="A104" s="34"/>
      <c r="B104" s="124" t="s">
        <v>723</v>
      </c>
      <c r="C104" s="124"/>
      <c r="D104" s="124"/>
      <c r="E104" s="124"/>
      <c r="F104" s="124"/>
      <c r="G104" s="124"/>
      <c r="H104" s="124"/>
      <c r="I104" s="124"/>
      <c r="J104" s="124"/>
      <c r="K104" s="124"/>
      <c r="L104" s="124"/>
      <c r="M104" s="124"/>
      <c r="N104" s="124"/>
      <c r="O104" s="124"/>
      <c r="P104" s="124"/>
      <c r="Q104" s="124"/>
      <c r="R104" s="124"/>
      <c r="S104" s="124"/>
      <c r="T104" s="124"/>
      <c r="U104" s="124"/>
      <c r="V104" s="124"/>
      <c r="W104" s="124"/>
      <c r="X104" s="124"/>
      <c r="Y104" s="124"/>
      <c r="Z104" s="124"/>
      <c r="AA104" s="124"/>
      <c r="AB104" s="124"/>
      <c r="AC104" s="124"/>
      <c r="AD104" s="124"/>
      <c r="AE104" s="124"/>
      <c r="AF104" s="124"/>
      <c r="AG104" s="124"/>
      <c r="AH104" s="124"/>
      <c r="AI104" s="124"/>
      <c r="AJ104" s="35"/>
    </row>
    <row r="105" spans="1:36" s="36" customFormat="1" x14ac:dyDescent="0.25">
      <c r="A105" s="34"/>
      <c r="B105" s="350" t="s">
        <v>725</v>
      </c>
      <c r="C105" s="350"/>
      <c r="D105" s="350"/>
      <c r="E105" s="350"/>
      <c r="F105" s="350"/>
      <c r="G105" s="350"/>
      <c r="H105" s="350"/>
      <c r="I105" s="350"/>
      <c r="J105" s="350"/>
      <c r="K105" s="350"/>
      <c r="L105" s="350"/>
      <c r="M105" s="350"/>
      <c r="N105" s="350"/>
      <c r="O105" s="350"/>
      <c r="P105" s="350"/>
      <c r="Q105" s="350"/>
      <c r="R105" s="350"/>
      <c r="S105" s="350"/>
      <c r="T105" s="350"/>
      <c r="U105" s="350"/>
      <c r="V105" s="350"/>
      <c r="W105" s="350"/>
      <c r="X105" s="350"/>
      <c r="Y105" s="350"/>
      <c r="Z105" s="350"/>
      <c r="AA105" s="350"/>
      <c r="AB105" s="350"/>
      <c r="AC105" s="350"/>
      <c r="AD105" s="350"/>
      <c r="AE105" s="350"/>
      <c r="AF105" s="350"/>
      <c r="AG105" s="350"/>
      <c r="AH105" s="350"/>
      <c r="AI105" s="350"/>
      <c r="AJ105" s="123"/>
    </row>
    <row r="106" spans="1:36" s="36" customFormat="1" x14ac:dyDescent="0.25">
      <c r="A106" s="34"/>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row>
    <row r="107" spans="1:36" s="36" customFormat="1" x14ac:dyDescent="0.25">
      <c r="A107" s="41"/>
    </row>
    <row r="108" spans="1:36" s="36" customFormat="1" x14ac:dyDescent="0.25">
      <c r="A108" s="41"/>
    </row>
    <row r="109" spans="1:36" s="36" customFormat="1" x14ac:dyDescent="0.25">
      <c r="A109" s="41"/>
    </row>
    <row r="110" spans="1:36" s="36" customFormat="1" x14ac:dyDescent="0.25">
      <c r="A110" s="41"/>
    </row>
    <row r="111" spans="1:36" s="36" customFormat="1" x14ac:dyDescent="0.25">
      <c r="A111" s="41"/>
    </row>
    <row r="112" spans="1:36" s="36" customFormat="1" x14ac:dyDescent="0.25">
      <c r="A112" s="41"/>
    </row>
    <row r="113" spans="1:1" s="36" customFormat="1" x14ac:dyDescent="0.25">
      <c r="A113" s="41"/>
    </row>
    <row r="114" spans="1:1" s="36" customFormat="1" x14ac:dyDescent="0.25">
      <c r="A114" s="41"/>
    </row>
    <row r="115" spans="1:1" s="36" customFormat="1" x14ac:dyDescent="0.25">
      <c r="A115" s="41"/>
    </row>
    <row r="116" spans="1:1" s="36" customFormat="1" x14ac:dyDescent="0.25">
      <c r="A116" s="41"/>
    </row>
    <row r="117" spans="1:1" s="36" customFormat="1" x14ac:dyDescent="0.25">
      <c r="A117" s="41"/>
    </row>
    <row r="118" spans="1:1" s="36" customFormat="1" x14ac:dyDescent="0.25">
      <c r="A118" s="41"/>
    </row>
    <row r="119" spans="1:1" s="36" customFormat="1" x14ac:dyDescent="0.25">
      <c r="A119" s="41"/>
    </row>
    <row r="120" spans="1:1" s="36" customFormat="1" x14ac:dyDescent="0.25">
      <c r="A120" s="41"/>
    </row>
    <row r="121" spans="1:1" s="36" customFormat="1" x14ac:dyDescent="0.25">
      <c r="A121" s="41"/>
    </row>
    <row r="122" spans="1:1" s="36" customFormat="1" x14ac:dyDescent="0.25">
      <c r="A122" s="41"/>
    </row>
    <row r="123" spans="1:1" s="36" customFormat="1" x14ac:dyDescent="0.25">
      <c r="A123" s="41"/>
    </row>
    <row r="124" spans="1:1" s="36" customFormat="1" x14ac:dyDescent="0.25">
      <c r="A124" s="41"/>
    </row>
    <row r="125" spans="1:1" s="36" customFormat="1" x14ac:dyDescent="0.25">
      <c r="A125" s="41"/>
    </row>
    <row r="126" spans="1:1" s="36" customFormat="1" x14ac:dyDescent="0.25">
      <c r="A126" s="41"/>
    </row>
    <row r="127" spans="1:1" s="36" customFormat="1" x14ac:dyDescent="0.25">
      <c r="A127" s="41"/>
    </row>
    <row r="128" spans="1:1" s="36" customFormat="1" x14ac:dyDescent="0.25">
      <c r="A128" s="41"/>
    </row>
    <row r="129" spans="1:36" s="36" customFormat="1" x14ac:dyDescent="0.25">
      <c r="A129" s="41"/>
    </row>
    <row r="130" spans="1:36" s="36" customFormat="1" x14ac:dyDescent="0.25">
      <c r="A130" s="41"/>
    </row>
    <row r="131" spans="1:36" s="36" customFormat="1" x14ac:dyDescent="0.25">
      <c r="A131" s="41"/>
    </row>
    <row r="132" spans="1:36" s="36" customFormat="1" x14ac:dyDescent="0.25">
      <c r="A132" s="41"/>
    </row>
    <row r="133" spans="1:36" x14ac:dyDescent="0.25">
      <c r="B133" s="36"/>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row>
    <row r="134" spans="1:36" x14ac:dyDescent="0.25">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6"/>
      <c r="AI134" s="36"/>
      <c r="AJ134" s="36"/>
    </row>
    <row r="135" spans="1:36" x14ac:dyDescent="0.25">
      <c r="B135" s="36"/>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row>
    <row r="136" spans="1:36" x14ac:dyDescent="0.25">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6"/>
      <c r="AI136" s="36"/>
      <c r="AJ136" s="36"/>
    </row>
    <row r="137" spans="1:36" x14ac:dyDescent="0.25">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6"/>
      <c r="AI137" s="36"/>
      <c r="AJ137" s="36"/>
    </row>
    <row r="138" spans="1:36" x14ac:dyDescent="0.25">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6"/>
      <c r="AI138" s="36"/>
      <c r="AJ138" s="36"/>
    </row>
    <row r="139" spans="1:36" x14ac:dyDescent="0.25">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row>
    <row r="140" spans="1:36" x14ac:dyDescent="0.25">
      <c r="B140" s="36"/>
      <c r="C140" s="36"/>
      <c r="D140" s="36"/>
      <c r="E140" s="36"/>
      <c r="F140" s="36"/>
      <c r="G140" s="36"/>
      <c r="H140" s="36"/>
      <c r="I140" s="36"/>
      <c r="J140" s="36"/>
      <c r="K140" s="36"/>
      <c r="L140" s="36"/>
      <c r="M140" s="36"/>
      <c r="N140" s="36"/>
      <c r="O140" s="36"/>
      <c r="P140" s="36"/>
      <c r="Q140" s="36"/>
      <c r="R140" s="36"/>
      <c r="S140" s="36"/>
      <c r="T140" s="36"/>
      <c r="U140" s="36"/>
      <c r="V140" s="36"/>
      <c r="W140" s="36"/>
      <c r="X140" s="36"/>
      <c r="Y140" s="36"/>
      <c r="Z140" s="36"/>
      <c r="AA140" s="36"/>
      <c r="AB140" s="36"/>
      <c r="AC140" s="36"/>
      <c r="AD140" s="36"/>
      <c r="AE140" s="36"/>
      <c r="AF140" s="36"/>
      <c r="AG140" s="36"/>
      <c r="AH140" s="36"/>
      <c r="AI140" s="36"/>
    </row>
  </sheetData>
  <sheetProtection algorithmName="SHA-512" hashValue="s+AztputaWRVNuvrbTiaU/ySJnxo//bRVIiKae6zNPySFXVf1Kt9H+6D6hqOPE9rVK/uUJgwbNb7hCFGZvwHMw==" saltValue="CNNm0+jpNgAMfT11Qjf/Pg==" spinCount="100000" sheet="1" objects="1" scenarios="1"/>
  <mergeCells count="642">
    <mergeCell ref="B105:AI105"/>
    <mergeCell ref="B85:AI85"/>
    <mergeCell ref="X94:AI94"/>
    <mergeCell ref="D101:AI102"/>
    <mergeCell ref="B1:AI1"/>
    <mergeCell ref="B35:F35"/>
    <mergeCell ref="J35:AI35"/>
    <mergeCell ref="B99:AI99"/>
    <mergeCell ref="B100:AI100"/>
    <mergeCell ref="B103:AI103"/>
    <mergeCell ref="L83:AI83"/>
    <mergeCell ref="B84:AI84"/>
    <mergeCell ref="B86:AI86"/>
    <mergeCell ref="B3:AI3"/>
    <mergeCell ref="B5:AI5"/>
    <mergeCell ref="B6:AI6"/>
    <mergeCell ref="B7:AI7"/>
    <mergeCell ref="I9:AI9"/>
    <mergeCell ref="I8:AI8"/>
    <mergeCell ref="B10:AI10"/>
    <mergeCell ref="B12:W12"/>
    <mergeCell ref="B13:W13"/>
    <mergeCell ref="B21:AI21"/>
    <mergeCell ref="B22:AI22"/>
    <mergeCell ref="R23:Z23"/>
    <mergeCell ref="L2:AI2"/>
    <mergeCell ref="L11:AI11"/>
    <mergeCell ref="L36:AI36"/>
    <mergeCell ref="L41:AI41"/>
    <mergeCell ref="F37:AI37"/>
    <mergeCell ref="B2:K2"/>
    <mergeCell ref="B8:D9"/>
    <mergeCell ref="B4:G4"/>
    <mergeCell ref="I4:N4"/>
    <mergeCell ref="P4:U4"/>
    <mergeCell ref="K28:N28"/>
    <mergeCell ref="B29:C29"/>
    <mergeCell ref="D29:N29"/>
    <mergeCell ref="B30:C30"/>
    <mergeCell ref="D30:N30"/>
    <mergeCell ref="B33:C34"/>
    <mergeCell ref="B14:S14"/>
    <mergeCell ref="B15:C16"/>
    <mergeCell ref="D15:E16"/>
    <mergeCell ref="AF15:AG16"/>
    <mergeCell ref="AH15:AI16"/>
    <mergeCell ref="AB19:AC20"/>
    <mergeCell ref="AD19:AE20"/>
    <mergeCell ref="X47:Y47"/>
    <mergeCell ref="Z47:AA47"/>
    <mergeCell ref="AB47:AC47"/>
    <mergeCell ref="AD48:AE48"/>
    <mergeCell ref="O24:Q30"/>
    <mergeCell ref="B31:AI31"/>
    <mergeCell ref="B32:AI32"/>
    <mergeCell ref="G38:I39"/>
    <mergeCell ref="S38:AI39"/>
    <mergeCell ref="D33:E34"/>
    <mergeCell ref="B28:C28"/>
    <mergeCell ref="D28:H28"/>
    <mergeCell ref="I28:J28"/>
    <mergeCell ref="B37:E37"/>
    <mergeCell ref="AF48:AG48"/>
    <mergeCell ref="AH48:AI48"/>
    <mergeCell ref="Z48:AA48"/>
    <mergeCell ref="AB48:AC48"/>
    <mergeCell ref="B46:AI46"/>
    <mergeCell ref="I47:J47"/>
    <mergeCell ref="K47:L47"/>
    <mergeCell ref="M47:R47"/>
    <mergeCell ref="S47:W47"/>
    <mergeCell ref="AD47:AI47"/>
    <mergeCell ref="L82:AI82"/>
    <mergeCell ref="L88:AI88"/>
    <mergeCell ref="L96:AI96"/>
    <mergeCell ref="B97:AI97"/>
    <mergeCell ref="B98:AI98"/>
    <mergeCell ref="B40:AI40"/>
    <mergeCell ref="B44:AI44"/>
    <mergeCell ref="B45:AI45"/>
    <mergeCell ref="B81:AI81"/>
    <mergeCell ref="B80:N80"/>
    <mergeCell ref="O80:V80"/>
    <mergeCell ref="W80:AI80"/>
    <mergeCell ref="B89:O89"/>
    <mergeCell ref="P89:Z89"/>
    <mergeCell ref="AA89:AI89"/>
    <mergeCell ref="L90:AI90"/>
    <mergeCell ref="M91:AI91"/>
    <mergeCell ref="B92:AI92"/>
    <mergeCell ref="B93:AI93"/>
    <mergeCell ref="X48:Y48"/>
    <mergeCell ref="AD49:AE49"/>
    <mergeCell ref="AF49:AG49"/>
    <mergeCell ref="AD51:AE51"/>
    <mergeCell ref="AF51:AG51"/>
    <mergeCell ref="B104:AI104"/>
    <mergeCell ref="B11:K11"/>
    <mergeCell ref="B91:L91"/>
    <mergeCell ref="B38:D39"/>
    <mergeCell ref="E38:F39"/>
    <mergeCell ref="J38:R39"/>
    <mergeCell ref="S73:W73"/>
    <mergeCell ref="B90:K90"/>
    <mergeCell ref="B42:AI43"/>
    <mergeCell ref="B47:F47"/>
    <mergeCell ref="G47:H47"/>
    <mergeCell ref="X12:AI13"/>
    <mergeCell ref="B36:K36"/>
    <mergeCell ref="B41:K41"/>
    <mergeCell ref="B82:K82"/>
    <mergeCell ref="B88:K88"/>
    <mergeCell ref="B96:K96"/>
    <mergeCell ref="B94:W94"/>
    <mergeCell ref="B83:K83"/>
    <mergeCell ref="B17:C18"/>
    <mergeCell ref="D17:E18"/>
    <mergeCell ref="R15:S15"/>
    <mergeCell ref="L16:M16"/>
    <mergeCell ref="X14:AI14"/>
    <mergeCell ref="X15:Y16"/>
    <mergeCell ref="Z15:AA16"/>
    <mergeCell ref="AB15:AC16"/>
    <mergeCell ref="AD15:AE16"/>
    <mergeCell ref="F16:G16"/>
    <mergeCell ref="F17:G17"/>
    <mergeCell ref="R16:S16"/>
    <mergeCell ref="J17:K18"/>
    <mergeCell ref="R17:S17"/>
    <mergeCell ref="H17:I18"/>
    <mergeCell ref="H15:I16"/>
    <mergeCell ref="J15:K16"/>
    <mergeCell ref="L15:M15"/>
    <mergeCell ref="N15:O16"/>
    <mergeCell ref="P15:Q16"/>
    <mergeCell ref="F15:G15"/>
    <mergeCell ref="F18:G18"/>
    <mergeCell ref="AB17:AC18"/>
    <mergeCell ref="AF19:AI20"/>
    <mergeCell ref="R18:S18"/>
    <mergeCell ref="AH17:AI18"/>
    <mergeCell ref="N33:Q34"/>
    <mergeCell ref="AD33:AF33"/>
    <mergeCell ref="L18:M18"/>
    <mergeCell ref="L20:M20"/>
    <mergeCell ref="N19:S20"/>
    <mergeCell ref="AA23:AI23"/>
    <mergeCell ref="AD17:AE18"/>
    <mergeCell ref="AF17:AG18"/>
    <mergeCell ref="AG33:AI33"/>
    <mergeCell ref="U34:W34"/>
    <mergeCell ref="X34:Z34"/>
    <mergeCell ref="AA34:AC34"/>
    <mergeCell ref="AD34:AF34"/>
    <mergeCell ref="AG34:AI34"/>
    <mergeCell ref="X19:Y20"/>
    <mergeCell ref="Z19:AA20"/>
    <mergeCell ref="X17:Y18"/>
    <mergeCell ref="Z17:AA18"/>
    <mergeCell ref="L17:M17"/>
    <mergeCell ref="N17:O18"/>
    <mergeCell ref="P17:Q18"/>
    <mergeCell ref="B19:C20"/>
    <mergeCell ref="D19:E20"/>
    <mergeCell ref="F19:G19"/>
    <mergeCell ref="H19:I20"/>
    <mergeCell ref="J19:K20"/>
    <mergeCell ref="L19:M19"/>
    <mergeCell ref="F20:G20"/>
    <mergeCell ref="B27:C27"/>
    <mergeCell ref="D27:N27"/>
    <mergeCell ref="B24:N24"/>
    <mergeCell ref="B25:C25"/>
    <mergeCell ref="D25:N25"/>
    <mergeCell ref="B26:C26"/>
    <mergeCell ref="D26:N26"/>
    <mergeCell ref="B23:Q23"/>
    <mergeCell ref="B48:F48"/>
    <mergeCell ref="G48:H48"/>
    <mergeCell ref="I48:J48"/>
    <mergeCell ref="K48:L48"/>
    <mergeCell ref="M48:N48"/>
    <mergeCell ref="O48:P48"/>
    <mergeCell ref="M49:N49"/>
    <mergeCell ref="O49:P49"/>
    <mergeCell ref="Q48:R48"/>
    <mergeCell ref="S48:W48"/>
    <mergeCell ref="AH49:AI49"/>
    <mergeCell ref="B50:F50"/>
    <mergeCell ref="G50:H50"/>
    <mergeCell ref="I50:J50"/>
    <mergeCell ref="K50:L50"/>
    <mergeCell ref="M50:N50"/>
    <mergeCell ref="O50:P50"/>
    <mergeCell ref="Q49:R49"/>
    <mergeCell ref="S49:W49"/>
    <mergeCell ref="X49:Y49"/>
    <mergeCell ref="Z49:AA49"/>
    <mergeCell ref="AB49:AC49"/>
    <mergeCell ref="AD50:AE50"/>
    <mergeCell ref="AF50:AG50"/>
    <mergeCell ref="AH50:AI50"/>
    <mergeCell ref="Z50:AA50"/>
    <mergeCell ref="AB50:AC50"/>
    <mergeCell ref="B49:F49"/>
    <mergeCell ref="G49:H49"/>
    <mergeCell ref="I49:J49"/>
    <mergeCell ref="K49:L49"/>
    <mergeCell ref="Q50:R50"/>
    <mergeCell ref="S50:W50"/>
    <mergeCell ref="X50:Y50"/>
    <mergeCell ref="AH51:AI51"/>
    <mergeCell ref="B52:C52"/>
    <mergeCell ref="D52:F52"/>
    <mergeCell ref="G52:H52"/>
    <mergeCell ref="I52:J52"/>
    <mergeCell ref="K52:L52"/>
    <mergeCell ref="M52:N52"/>
    <mergeCell ref="Q51:R51"/>
    <mergeCell ref="S51:W51"/>
    <mergeCell ref="X51:Y51"/>
    <mergeCell ref="Z51:AA51"/>
    <mergeCell ref="AB51:AC51"/>
    <mergeCell ref="AB52:AC52"/>
    <mergeCell ref="AD52:AE52"/>
    <mergeCell ref="AF52:AG52"/>
    <mergeCell ref="AH52:AI52"/>
    <mergeCell ref="Z52:AA52"/>
    <mergeCell ref="B51:F51"/>
    <mergeCell ref="G51:H51"/>
    <mergeCell ref="I51:J51"/>
    <mergeCell ref="K51:L51"/>
    <mergeCell ref="M51:N51"/>
    <mergeCell ref="O51:P51"/>
    <mergeCell ref="B53:C53"/>
    <mergeCell ref="D53:F53"/>
    <mergeCell ref="G53:H53"/>
    <mergeCell ref="I53:J53"/>
    <mergeCell ref="K53:L53"/>
    <mergeCell ref="O52:P52"/>
    <mergeCell ref="Q52:R52"/>
    <mergeCell ref="S52:W52"/>
    <mergeCell ref="X52:Y52"/>
    <mergeCell ref="Z53:AA53"/>
    <mergeCell ref="AB53:AC53"/>
    <mergeCell ref="AD53:AE53"/>
    <mergeCell ref="AF53:AG53"/>
    <mergeCell ref="AH53:AI53"/>
    <mergeCell ref="B54:C54"/>
    <mergeCell ref="D54:F54"/>
    <mergeCell ref="G54:H54"/>
    <mergeCell ref="I54:J54"/>
    <mergeCell ref="M53:N53"/>
    <mergeCell ref="O53:P53"/>
    <mergeCell ref="Q53:R53"/>
    <mergeCell ref="S53:W53"/>
    <mergeCell ref="X53:Y53"/>
    <mergeCell ref="Z54:AA54"/>
    <mergeCell ref="AB54:AC54"/>
    <mergeCell ref="AD54:AE54"/>
    <mergeCell ref="AF54:AG54"/>
    <mergeCell ref="AH54:AI54"/>
    <mergeCell ref="K54:L54"/>
    <mergeCell ref="M54:N54"/>
    <mergeCell ref="O54:P54"/>
    <mergeCell ref="Q54:R54"/>
    <mergeCell ref="S54:W54"/>
    <mergeCell ref="X54:Y54"/>
    <mergeCell ref="AB55:AC55"/>
    <mergeCell ref="AD55:AE55"/>
    <mergeCell ref="AF55:AG55"/>
    <mergeCell ref="AH55:AI55"/>
    <mergeCell ref="B56:F56"/>
    <mergeCell ref="G56:H56"/>
    <mergeCell ref="I56:J56"/>
    <mergeCell ref="K56:L56"/>
    <mergeCell ref="M56:N56"/>
    <mergeCell ref="O55:P55"/>
    <mergeCell ref="Q55:R55"/>
    <mergeCell ref="S55:W55"/>
    <mergeCell ref="X55:Y55"/>
    <mergeCell ref="Z55:AA55"/>
    <mergeCell ref="B55:F55"/>
    <mergeCell ref="G55:H55"/>
    <mergeCell ref="I55:J55"/>
    <mergeCell ref="K55:L55"/>
    <mergeCell ref="M55:N55"/>
    <mergeCell ref="AB56:AC56"/>
    <mergeCell ref="AD56:AE56"/>
    <mergeCell ref="AF56:AG56"/>
    <mergeCell ref="AH56:AI56"/>
    <mergeCell ref="B58:F58"/>
    <mergeCell ref="G58:H58"/>
    <mergeCell ref="I58:J58"/>
    <mergeCell ref="K58:L58"/>
    <mergeCell ref="M58:N58"/>
    <mergeCell ref="O57:P57"/>
    <mergeCell ref="Q57:R57"/>
    <mergeCell ref="S57:W57"/>
    <mergeCell ref="X57:Y57"/>
    <mergeCell ref="B57:F57"/>
    <mergeCell ref="G57:H57"/>
    <mergeCell ref="I57:J57"/>
    <mergeCell ref="K57:L57"/>
    <mergeCell ref="M57:N57"/>
    <mergeCell ref="O58:P58"/>
    <mergeCell ref="Q58:R58"/>
    <mergeCell ref="S58:W58"/>
    <mergeCell ref="X58:Y58"/>
    <mergeCell ref="Z56:AA56"/>
    <mergeCell ref="AB57:AC57"/>
    <mergeCell ref="AD57:AE57"/>
    <mergeCell ref="AF57:AG57"/>
    <mergeCell ref="AH57:AI57"/>
    <mergeCell ref="Z57:AA57"/>
    <mergeCell ref="AB58:AC58"/>
    <mergeCell ref="AD58:AE58"/>
    <mergeCell ref="AF58:AG58"/>
    <mergeCell ref="AH58:AI58"/>
    <mergeCell ref="Z58:AA58"/>
    <mergeCell ref="O56:P56"/>
    <mergeCell ref="Q56:R56"/>
    <mergeCell ref="S56:W56"/>
    <mergeCell ref="X56:Y56"/>
    <mergeCell ref="AH59:AI59"/>
    <mergeCell ref="B60:F60"/>
    <mergeCell ref="G60:H60"/>
    <mergeCell ref="I60:J60"/>
    <mergeCell ref="K60:L60"/>
    <mergeCell ref="O59:P59"/>
    <mergeCell ref="Q59:R59"/>
    <mergeCell ref="S59:T59"/>
    <mergeCell ref="U59:W59"/>
    <mergeCell ref="X59:Y59"/>
    <mergeCell ref="Z60:AA60"/>
    <mergeCell ref="AB60:AC60"/>
    <mergeCell ref="AD60:AE60"/>
    <mergeCell ref="AF60:AG60"/>
    <mergeCell ref="AH60:AI60"/>
    <mergeCell ref="B59:F59"/>
    <mergeCell ref="G59:H59"/>
    <mergeCell ref="I59:J59"/>
    <mergeCell ref="K59:L59"/>
    <mergeCell ref="M59:N59"/>
    <mergeCell ref="M60:N60"/>
    <mergeCell ref="O60:P60"/>
    <mergeCell ref="Q60:R60"/>
    <mergeCell ref="S60:W60"/>
    <mergeCell ref="X60:Y60"/>
    <mergeCell ref="Z59:AA59"/>
    <mergeCell ref="AB59:AC59"/>
    <mergeCell ref="AD59:AE59"/>
    <mergeCell ref="AF59:AG59"/>
    <mergeCell ref="Z61:AA61"/>
    <mergeCell ref="AB61:AC61"/>
    <mergeCell ref="AD61:AE61"/>
    <mergeCell ref="AF61:AG61"/>
    <mergeCell ref="AH61:AI61"/>
    <mergeCell ref="B62:F62"/>
    <mergeCell ref="G62:H62"/>
    <mergeCell ref="I62:J62"/>
    <mergeCell ref="K62:L62"/>
    <mergeCell ref="M61:N61"/>
    <mergeCell ref="O61:P61"/>
    <mergeCell ref="Q61:R61"/>
    <mergeCell ref="S61:W61"/>
    <mergeCell ref="X61:Y61"/>
    <mergeCell ref="Z62:AA62"/>
    <mergeCell ref="AB62:AC62"/>
    <mergeCell ref="AD62:AE62"/>
    <mergeCell ref="AF62:AG62"/>
    <mergeCell ref="AH62:AI62"/>
    <mergeCell ref="B61:F61"/>
    <mergeCell ref="G61:H61"/>
    <mergeCell ref="I61:J61"/>
    <mergeCell ref="K61:L61"/>
    <mergeCell ref="B63:F63"/>
    <mergeCell ref="G63:H63"/>
    <mergeCell ref="I63:J63"/>
    <mergeCell ref="K63:L63"/>
    <mergeCell ref="M62:N62"/>
    <mergeCell ref="O62:P62"/>
    <mergeCell ref="Q62:R62"/>
    <mergeCell ref="S62:W62"/>
    <mergeCell ref="X62:Y62"/>
    <mergeCell ref="Z63:AA63"/>
    <mergeCell ref="AB63:AC63"/>
    <mergeCell ref="AD63:AE63"/>
    <mergeCell ref="AF63:AG63"/>
    <mergeCell ref="AH63:AI63"/>
    <mergeCell ref="M63:N63"/>
    <mergeCell ref="O63:P63"/>
    <mergeCell ref="Q63:R63"/>
    <mergeCell ref="S63:T63"/>
    <mergeCell ref="U63:W63"/>
    <mergeCell ref="X63:Y63"/>
    <mergeCell ref="Z64:AA64"/>
    <mergeCell ref="AB64:AC64"/>
    <mergeCell ref="AD64:AE64"/>
    <mergeCell ref="AF64:AG64"/>
    <mergeCell ref="AH64:AI64"/>
    <mergeCell ref="B65:F65"/>
    <mergeCell ref="G65:H65"/>
    <mergeCell ref="I65:J65"/>
    <mergeCell ref="K65:L65"/>
    <mergeCell ref="O64:P64"/>
    <mergeCell ref="Q64:R64"/>
    <mergeCell ref="S64:T64"/>
    <mergeCell ref="U64:W64"/>
    <mergeCell ref="X64:Y64"/>
    <mergeCell ref="B64:F64"/>
    <mergeCell ref="G64:H64"/>
    <mergeCell ref="I64:J64"/>
    <mergeCell ref="K64:L64"/>
    <mergeCell ref="M64:N64"/>
    <mergeCell ref="Z65:AA65"/>
    <mergeCell ref="AB65:AC65"/>
    <mergeCell ref="AD65:AE65"/>
    <mergeCell ref="AF65:AG65"/>
    <mergeCell ref="AH65:AI65"/>
    <mergeCell ref="M65:N65"/>
    <mergeCell ref="O65:P65"/>
    <mergeCell ref="Q65:R65"/>
    <mergeCell ref="S65:T65"/>
    <mergeCell ref="U65:W65"/>
    <mergeCell ref="X65:Y65"/>
    <mergeCell ref="Z66:AA66"/>
    <mergeCell ref="AB66:AC66"/>
    <mergeCell ref="AD66:AE66"/>
    <mergeCell ref="AF66:AG66"/>
    <mergeCell ref="AH66:AI66"/>
    <mergeCell ref="B67:C67"/>
    <mergeCell ref="D67:F67"/>
    <mergeCell ref="G67:H67"/>
    <mergeCell ref="I67:J67"/>
    <mergeCell ref="M66:N66"/>
    <mergeCell ref="O66:P66"/>
    <mergeCell ref="Q66:R66"/>
    <mergeCell ref="S66:W66"/>
    <mergeCell ref="X66:Y66"/>
    <mergeCell ref="B66:C66"/>
    <mergeCell ref="D66:F66"/>
    <mergeCell ref="G66:H66"/>
    <mergeCell ref="I66:J66"/>
    <mergeCell ref="K66:L66"/>
    <mergeCell ref="Z67:AA67"/>
    <mergeCell ref="AB67:AC67"/>
    <mergeCell ref="AD67:AE67"/>
    <mergeCell ref="AF67:AG67"/>
    <mergeCell ref="AH67:AI67"/>
    <mergeCell ref="K67:L67"/>
    <mergeCell ref="M67:N67"/>
    <mergeCell ref="O67:P67"/>
    <mergeCell ref="Q67:R67"/>
    <mergeCell ref="S67:W67"/>
    <mergeCell ref="X67:Y67"/>
    <mergeCell ref="Z68:AA68"/>
    <mergeCell ref="AB68:AC68"/>
    <mergeCell ref="AD68:AE68"/>
    <mergeCell ref="AF68:AG68"/>
    <mergeCell ref="AH68:AI68"/>
    <mergeCell ref="B69:C69"/>
    <mergeCell ref="D69:F69"/>
    <mergeCell ref="G69:H69"/>
    <mergeCell ref="I69:J69"/>
    <mergeCell ref="M68:N68"/>
    <mergeCell ref="O68:P68"/>
    <mergeCell ref="Q68:R68"/>
    <mergeCell ref="S68:W68"/>
    <mergeCell ref="X68:Y68"/>
    <mergeCell ref="B68:C68"/>
    <mergeCell ref="D68:F68"/>
    <mergeCell ref="G68:H68"/>
    <mergeCell ref="I68:J68"/>
    <mergeCell ref="K68:L68"/>
    <mergeCell ref="AH69:AI69"/>
    <mergeCell ref="Z69:AA69"/>
    <mergeCell ref="G70:H70"/>
    <mergeCell ref="I70:J70"/>
    <mergeCell ref="K70:L70"/>
    <mergeCell ref="M70:N70"/>
    <mergeCell ref="AB69:AC69"/>
    <mergeCell ref="AD69:AE69"/>
    <mergeCell ref="AF69:AG69"/>
    <mergeCell ref="K69:L69"/>
    <mergeCell ref="M69:N69"/>
    <mergeCell ref="O69:P69"/>
    <mergeCell ref="Q69:R69"/>
    <mergeCell ref="S69:T69"/>
    <mergeCell ref="U69:W69"/>
    <mergeCell ref="X69:Y69"/>
    <mergeCell ref="AF70:AG70"/>
    <mergeCell ref="O70:P70"/>
    <mergeCell ref="Q70:R70"/>
    <mergeCell ref="O72:P72"/>
    <mergeCell ref="Q71:R71"/>
    <mergeCell ref="S71:W71"/>
    <mergeCell ref="X71:Y71"/>
    <mergeCell ref="AH70:AI70"/>
    <mergeCell ref="B71:C71"/>
    <mergeCell ref="D71:F71"/>
    <mergeCell ref="G71:H71"/>
    <mergeCell ref="I71:J71"/>
    <mergeCell ref="K71:L71"/>
    <mergeCell ref="M71:N71"/>
    <mergeCell ref="O71:P71"/>
    <mergeCell ref="S70:W70"/>
    <mergeCell ref="X70:Y70"/>
    <mergeCell ref="Z70:AA70"/>
    <mergeCell ref="AB70:AC70"/>
    <mergeCell ref="AD70:AE70"/>
    <mergeCell ref="AD71:AE71"/>
    <mergeCell ref="AF71:AG71"/>
    <mergeCell ref="AH71:AI71"/>
    <mergeCell ref="Z71:AA71"/>
    <mergeCell ref="AB71:AC71"/>
    <mergeCell ref="B70:C70"/>
    <mergeCell ref="D70:F70"/>
    <mergeCell ref="AD72:AE72"/>
    <mergeCell ref="AF72:AG72"/>
    <mergeCell ref="AH72:AI72"/>
    <mergeCell ref="B73:F73"/>
    <mergeCell ref="G73:H73"/>
    <mergeCell ref="I73:J73"/>
    <mergeCell ref="K73:L73"/>
    <mergeCell ref="M73:N73"/>
    <mergeCell ref="O73:P73"/>
    <mergeCell ref="Q72:R72"/>
    <mergeCell ref="S72:W72"/>
    <mergeCell ref="X72:Y72"/>
    <mergeCell ref="Z72:AA72"/>
    <mergeCell ref="AB72:AC72"/>
    <mergeCell ref="AB73:AC73"/>
    <mergeCell ref="AD73:AE73"/>
    <mergeCell ref="AF73:AG73"/>
    <mergeCell ref="AH73:AI73"/>
    <mergeCell ref="Z73:AA73"/>
    <mergeCell ref="B72:F72"/>
    <mergeCell ref="G72:H72"/>
    <mergeCell ref="I72:J72"/>
    <mergeCell ref="K72:L72"/>
    <mergeCell ref="M72:N72"/>
    <mergeCell ref="AF75:AG75"/>
    <mergeCell ref="AH75:AI75"/>
    <mergeCell ref="Z75:AA75"/>
    <mergeCell ref="AH76:AI76"/>
    <mergeCell ref="AF76:AG76"/>
    <mergeCell ref="Q75:R75"/>
    <mergeCell ref="S75:W75"/>
    <mergeCell ref="X75:Y75"/>
    <mergeCell ref="Q73:R73"/>
    <mergeCell ref="X73:Y73"/>
    <mergeCell ref="B77:C77"/>
    <mergeCell ref="D77:F77"/>
    <mergeCell ref="G77:H77"/>
    <mergeCell ref="I77:J77"/>
    <mergeCell ref="M76:N76"/>
    <mergeCell ref="AB74:AC74"/>
    <mergeCell ref="AB76:AC76"/>
    <mergeCell ref="AD74:AE74"/>
    <mergeCell ref="B75:F75"/>
    <mergeCell ref="G75:H75"/>
    <mergeCell ref="I75:J75"/>
    <mergeCell ref="K75:L75"/>
    <mergeCell ref="M75:N75"/>
    <mergeCell ref="O74:P74"/>
    <mergeCell ref="Q74:R74"/>
    <mergeCell ref="S74:W74"/>
    <mergeCell ref="X74:Y74"/>
    <mergeCell ref="B74:F74"/>
    <mergeCell ref="G74:H74"/>
    <mergeCell ref="I74:J74"/>
    <mergeCell ref="K74:L74"/>
    <mergeCell ref="M74:N74"/>
    <mergeCell ref="O75:P75"/>
    <mergeCell ref="Z74:AA74"/>
    <mergeCell ref="B79:C79"/>
    <mergeCell ref="D79:F79"/>
    <mergeCell ref="G79:H79"/>
    <mergeCell ref="I79:J79"/>
    <mergeCell ref="M78:N78"/>
    <mergeCell ref="O78:P78"/>
    <mergeCell ref="Q78:R78"/>
    <mergeCell ref="S78:W78"/>
    <mergeCell ref="X78:Y78"/>
    <mergeCell ref="B78:C78"/>
    <mergeCell ref="D78:F78"/>
    <mergeCell ref="G78:H78"/>
    <mergeCell ref="I78:J78"/>
    <mergeCell ref="K78:L78"/>
    <mergeCell ref="S79:AI79"/>
    <mergeCell ref="AD78:AE78"/>
    <mergeCell ref="AF78:AG78"/>
    <mergeCell ref="AH78:AI78"/>
    <mergeCell ref="I76:J76"/>
    <mergeCell ref="K76:L76"/>
    <mergeCell ref="O76:P76"/>
    <mergeCell ref="Q76:R76"/>
    <mergeCell ref="G33:H33"/>
    <mergeCell ref="AA4:AI4"/>
    <mergeCell ref="X76:Y76"/>
    <mergeCell ref="Z77:AA77"/>
    <mergeCell ref="AB77:AC77"/>
    <mergeCell ref="AD77:AE77"/>
    <mergeCell ref="AF77:AG77"/>
    <mergeCell ref="AH77:AI77"/>
    <mergeCell ref="Z76:AA76"/>
    <mergeCell ref="AD76:AE76"/>
    <mergeCell ref="K77:L77"/>
    <mergeCell ref="M77:N77"/>
    <mergeCell ref="O77:P77"/>
    <mergeCell ref="Q77:R77"/>
    <mergeCell ref="S77:W77"/>
    <mergeCell ref="S76:W76"/>
    <mergeCell ref="AF74:AG74"/>
    <mergeCell ref="AH74:AI74"/>
    <mergeCell ref="AB75:AC75"/>
    <mergeCell ref="AD75:AE75"/>
    <mergeCell ref="B101:C102"/>
    <mergeCell ref="E8:G9"/>
    <mergeCell ref="K79:L79"/>
    <mergeCell ref="M79:N79"/>
    <mergeCell ref="O79:P79"/>
    <mergeCell ref="Q79:R79"/>
    <mergeCell ref="R24:AI24"/>
    <mergeCell ref="R25:AI25"/>
    <mergeCell ref="R26:AI26"/>
    <mergeCell ref="R27:AI27"/>
    <mergeCell ref="R28:AI28"/>
    <mergeCell ref="R29:AI29"/>
    <mergeCell ref="R30:AI30"/>
    <mergeCell ref="R33:T33"/>
    <mergeCell ref="R34:T34"/>
    <mergeCell ref="U33:W33"/>
    <mergeCell ref="X33:Z33"/>
    <mergeCell ref="AA33:AC33"/>
    <mergeCell ref="X77:Y77"/>
    <mergeCell ref="Z78:AA78"/>
    <mergeCell ref="AB78:AC78"/>
    <mergeCell ref="B76:C76"/>
    <mergeCell ref="D76:F76"/>
    <mergeCell ref="G76:H76"/>
  </mergeCells>
  <phoneticPr fontId="2" type="noConversion"/>
  <dataValidations xWindow="1079" yWindow="437" count="54">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S72:W72" xr:uid="{B300B940-894F-4200-9A09-776AEA3A6EE9}"/>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S71:W71" xr:uid="{86A2952F-ED35-4991-B350-5424ADED7398}"/>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S70:W70" xr:uid="{D22AA554-3CD9-4762-9EC6-9A3FF6EA45B8}"/>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S69:T69" xr:uid="{00A5F1FA-F4A6-4A46-9BF8-A976E21825DA}"/>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S68:W68" xr:uid="{39D2DBE9-209B-404F-ADA8-414B6066D759}"/>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S67:W67" xr:uid="{9FB54228-9277-4E05-921A-C5E4723CD3AB}"/>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S66:W66" xr:uid="{748BB9B2-23A2-463B-8717-2E72C5594EED}"/>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S63:T65" xr:uid="{866BBDA9-C155-4715-A240-518EBB24864F}"/>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S62:W62" xr:uid="{962CE81B-6239-4583-900B-9649D51CDA27}"/>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S61:W61" xr:uid="{2FDE4968-8B9F-4FB9-A11B-C3762E12CCD2}"/>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S60:W60" xr:uid="{70B293DB-9014-46F4-B077-2A9CE45942D5}"/>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S58:W58" xr:uid="{D2C03E53-B792-43FB-8BE9-C1E17124F4FF}"/>
    <dataValidation allowBlank="1" showInputMessage="1" showErrorMessage="1" promptTitle="Operate Heavy Machinery (01%)" prompt="当驾驶以及操纵一辆坦克，挖土机或者其他巨型建造机械时需要这个技能。对于种类非常不同的机械，KP可以决定难度等级。" sqref="S57:W57" xr:uid="{4476AE94-B7E3-4B33-AD79-73A2626AECA2}"/>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S49:W49" xr:uid="{413D4B04-5BDD-4A2A-A44E-4D1B8174557C}"/>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S48:W48" xr:uid="{B8332F12-A27A-4850-8F66-B60FB4FCA051}"/>
    <dataValidation allowBlank="1" showInputMessage="1" showErrorMessage="1" promptTitle="Language (Own) (EDU)" prompt="当选择这项技能时，必须明确一门具体的语言并且写在技能的后面。在婴儿期或者童年早期，大多数人使用单一一门语言。" sqref="B79:C79" xr:uid="{83ED7F9B-B5F5-4118-913B-2582CA09BB6F}"/>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B76:C78" xr:uid="{B1381834-59B1-43E8-AF88-ED70CAE5FA68}"/>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B56:F56" xr:uid="{90637ACC-DE22-4B55-B7DC-7C34F7FD9DED}"/>
    <dataValidation allowBlank="1" showInputMessage="1" showErrorMessage="1" promptTitle="Charm (15%)" prompt="魅惑允许通过许多形式来使用，包括肉体魅力、诱惑、奉承或是单纯的人格魅力。魅惑可能可以被用于迫使某人进行特定的行动。_x000a_魅惑或是心理学技能可以用于对抗魅惑技能。_x000a_魅惑技能可以被用于讨价还价。" sqref="B55:F55" xr:uid="{0DD9079E-1345-43F1-9BBC-58D8666FFC81}"/>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B52:C54" xr:uid="{A094C909-D07C-45D7-B1E5-EE8261BF2B0B}"/>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B51:F51" xr:uid="{3F4ECCB2-0043-4FC5-9EDF-221BBD5B9D2E}"/>
    <dataValidation allowBlank="1" showInputMessage="1" showErrorMessage="1" promptTitle="Appraise (05%)" prompt="用来估计某种物品的价值，包括质量，使用的材料以及工艺。相关的，调查员可以准确地辨认出物品的年龄，评估它的历史关联性以及发现赝品。" sqref="B50:F50" xr:uid="{B6A3979B-4B0C-4EBE-BBBA-61AE66C492B7}"/>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B49:F49" xr:uid="{D008A964-B195-4578-BA8A-EDC232DBC2FA}"/>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B48:F48" xr:uid="{8AAEA275-7C66-414B-A13D-E10D361185E4}"/>
    <dataValidation allowBlank="1" showInputMessage="1" showErrorMessage="1" promptTitle="Firearms (不定)" prompt="包括了各种形式的火器，也包括了弓箭和弩。" sqref="B69:C71" xr:uid="{42CA1279-1F7A-42E5-915A-3F4B5D086E25}"/>
    <dataValidation allowBlank="1" showInputMessage="1" showErrorMessage="1" promptTitle="Fighting (不定)" prompt="格斗技能指的是一名角色在近距离战斗上的技能。你可以花费一定的点数来获得任何的专业化技能。" sqref="B66:C68" xr:uid="{AFCC3443-7C1D-4FA4-A479-6195367949EA}"/>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B75:F75" xr:uid="{2AD6A70F-72A9-494F-ADD0-1B0C22C427AA}"/>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B74:F74" xr:uid="{38096707-1FEB-49DA-8809-B603FDA5679B}"/>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B73:F73" xr:uid="{3DA179D9-E2A4-4A43-95CF-65C08A0DEFC8}"/>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B72:F72" xr:uid="{4DB6A198-FAF8-4D85-8B36-B872E20099A4}"/>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B65:F65" xr:uid="{9D306EAC-A584-4890-9A11-982834C4E7E6}"/>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B64:F64" xr:uid="{8A6610D3-EC5D-4A10-B75C-E5098A5B9632}"/>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B63:F63" xr:uid="{55B382E8-F9FA-4C0C-A553-6887A78AC0A4}"/>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B62:F62" xr:uid="{6E2E984E-5AF4-4264-A3E0-50B7CBF44EFC}"/>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_x000a_无法躲避子弹。" sqref="B61:F61" xr:uid="{DF5C6E72-4E53-4BFD-95E0-36CDFA0EAACA}"/>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B60:F60" xr:uid="{7B976F5C-6050-44D2-B508-44DC55871F05}"/>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_x000a_               ——H·P·爱手艺" sqref="B59:F59" xr:uid="{A45A7E5F-1579-416E-BC0D-81304885590F}"/>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_x000a_（请将技能提升至调查员职业信用范围之内）" sqref="B58:F58" xr:uid="{80AC0F00-FF52-490D-914B-21C683071532}"/>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B57:F57" xr:uid="{E4B5545B-6CBF-4305-9F15-3A612A225B38}"/>
    <dataValidation allowBlank="1" showErrorMessage="1" sqref="D79" xr:uid="{1833B74C-B742-4B63-923F-D7B3C8505BDD}"/>
    <dataValidation allowBlank="1" showInputMessage="1" showErrorMessage="1" promptTitle="Pilot (01%)" prompt="这是操控飞行器或船只的技能，汽车驾驶在左侧躲闪和电器维修之间。_x000a_驾驶（飞行器）：了解并能够日益掌握下方指出的一类飞行器。着陆时，就算在最佳的状况，也必须进行驾驶掷骰。失败的结果视情况而定。_x000a_驾驶（船）：了解小型马达船和帆船在风中、暴风雨中、海潮中的各种行为，并可以从波浪与风的表现中读出暗礁及迫近的暴风雨。在风中，新水手连停艘小船都是困难的。" sqref="S59:T59" xr:uid="{53946ACD-BC14-44B4-9A1D-EFB2C9B7D809}"/>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S56:W56" xr:uid="{158F7C41-0DCD-4C17-99CE-5EA4AB5E55AA}"/>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S55:W55" xr:uid="{3127D419-B6EF-445F-AFC3-FDB8977330DB}"/>
    <dataValidation allowBlank="1" showInputMessage="1" showErrorMessage="1" promptTitle="Natural World (10%)    也译作“自然学”" prompt="指对于自然环境中的植物和动物生命的研究。它可以对物种，栖息地进行辨认，并能辨认踪迹、足迹和叫声，也允许对什么事物可能对某种特定物种来说很重要进行猜测。自然学可能准确也可能不准确。" sqref="S54:W54" xr:uid="{F74272E7-1181-47B1-A7FB-E701C3AAEAF5}"/>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S53:W53" xr:uid="{D9425BE2-324C-4A1A-8102-5B0B641561E4}"/>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S52:W52" xr:uid="{03FC885F-8471-4F88-9148-386D278A32A2}"/>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S51:W51" xr:uid="{C6ABE2FD-6073-4110-810E-166E00E2A543}"/>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S50:W50" xr:uid="{7F534452-4D77-4264-921E-CD42F1E33C97}"/>
    <dataValidation allowBlank="1" showInputMessage="1" showErrorMessage="1" promptTitle="语言水平" prompt="05%：正确辨认语言的种类_x000a_10%：可以沟通简单的概念_x000a_30%：可以了解事务上的需求_x000a_50%：可以流利使用语言_x000a_75%：可以像是当地人一样使用语言_x000a_辨认现代语言： Know掷骰_x000a_辨认灭绝人类语言：考古学或历史掷骰_x000a_辨认外星语言：克苏鲁神话或神秘学掷骰" sqref="D76:F78" xr:uid="{9D3A297D-7FD1-4A0E-B877-6BE365B2A598}"/>
    <dataValidation type="whole" errorStyle="information" operator="lessThanOrEqual" allowBlank="1" showInputMessage="1" showErrorMessage="1" errorTitle="人体极限" error="这些属性的极限值为99。_x000a_除非你的守秘人同意，否则调查员属性不能突破这个上限。" sqref="P15:Q16" xr:uid="{2A6D9CF2-99CE-43CB-81C9-1CB4D9B0A091}">
      <formula1>150</formula1>
    </dataValidation>
    <dataValidation type="whole" errorStyle="information" operator="lessThanOrEqual" allowBlank="1" showInputMessage="1" showErrorMessage="1" errorTitle="人体极限" error="这些属性的极限值为99。_x000a_除非你的守秘人同意，否则调查员属性不能突破这个上限。" sqref="J15:K20 P17:Q18 D15:E20" xr:uid="{FF848851-1292-4211-82C5-87EE66E1B9AF}">
      <formula1>99</formula1>
    </dataValidation>
    <dataValidation type="list" allowBlank="1" showInputMessage="1" showErrorMessage="1" sqref="E8:G9" xr:uid="{B6D6242B-EFBB-43C7-97C6-FC6BDC0557E2}">
      <formula1>"1890s,1920s,现代"</formula1>
    </dataValidation>
    <dataValidation type="whole" errorStyle="information" allowBlank="1" showInputMessage="1" showErrorMessage="1" errorTitle="年龄" error="只能输入整数，且范围应在15-89之间。" sqref="D28:H28" xr:uid="{7A5F7247-DCBD-4ECD-89C5-2F64DD552B82}">
      <formula1>15</formula1>
      <formula2>89</formula2>
    </dataValidation>
    <dataValidation type="whole" allowBlank="1" showInputMessage="1" showErrorMessage="1" sqref="E38:F39" xr:uid="{08AF1AB1-146B-45ED-B3F6-AC485F2E30C8}">
      <formula1>0</formula1>
      <formula2>114</formula2>
    </dataValidation>
  </dataValidations>
  <hyperlinks>
    <hyperlink ref="B37:E37" location="职业列表!A1" display="查看职业列表" xr:uid="{60563D38-7F27-446E-A123-A29D3BB97FB2}"/>
    <hyperlink ref="O80" location="技能专攻!A1" display="请查看“技能专攻”。" xr:uid="{66C944D8-140D-4BAB-8CBD-CB96F9CF656B}"/>
    <hyperlink ref="B83:F83" location="backstory" display="转到“人物卡”标签" xr:uid="{E381A9AF-7976-4BCB-8E9F-295F71CB0784}"/>
    <hyperlink ref="B90" location="Assets" display="然后，转到“人物卡”标签的“资产”部分" xr:uid="{AD588D31-2CC8-4B5D-A63B-F3599C807BEF}"/>
    <hyperlink ref="B91" location="Gear" display="转到“人物卡”标签的“装备和道具”部分" xr:uid="{9DE9539D-E992-47A0-A869-9A32080A5ADA}"/>
    <hyperlink ref="X94:AF94" location="weapon" display="把它们抄转至人物卡的“武器”部分。" xr:uid="{25416387-89C9-42EC-8A11-CC3E2646CBDF}"/>
    <hyperlink ref="O80:U80" location="技能专攻!H16" display="请查看“技能专攻”标签" xr:uid="{F5090486-5DC7-408B-947A-8266DF2CADF8}"/>
    <hyperlink ref="AA4:AH4" r:id="rId1" display="如果需要视频教程，点击这里" xr:uid="{C9FCF04D-A1B9-472B-83C9-02E452262AB3}"/>
    <hyperlink ref="B4:G4" r:id="rId2" display="守秘人规则书下载地址" xr:uid="{CC667A76-3A9A-404C-A31D-66A7F3AAC230}"/>
    <hyperlink ref="I4:N4" r:id="rId3" display="调查员手册下载地址" xr:uid="{7040F95F-4B7D-4B42-AB6A-E5AE45323A25}"/>
    <hyperlink ref="P4:U4" r:id="rId4" display="面团用人物卡下载地址" xr:uid="{A59E1E70-8279-40BB-A3C3-A36C6F4F5E68}"/>
    <hyperlink ref="P89:Z89" location="资产对照表!H14" display="对照“现金和资产表”来确定它们的数量" xr:uid="{A1DDB573-B242-4FE5-B660-2E5BD9438C10}"/>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Generate_Char">
                <anchor moveWithCells="1" sizeWithCells="1">
                  <from>
                    <xdr:col>19</xdr:col>
                    <xdr:colOff>121920</xdr:colOff>
                    <xdr:row>14</xdr:row>
                    <xdr:rowOff>38100</xdr:rowOff>
                  </from>
                  <to>
                    <xdr:col>22</xdr:col>
                    <xdr:colOff>152400</xdr:colOff>
                    <xdr:row>16</xdr:row>
                    <xdr:rowOff>38100</xdr:rowOff>
                  </to>
                </anchor>
              </controlPr>
            </control>
          </mc:Choice>
        </mc:AlternateContent>
        <mc:AlternateContent xmlns:mc="http://schemas.openxmlformats.org/markup-compatibility/2006">
          <mc:Choice Requires="x14">
            <control shapeId="1029" r:id="rId9" name="Button 5">
              <controlPr defaultSize="0" print="0" autoFill="0" autoPict="0" macro="[0]!Delete_Char">
                <anchor moveWithCells="1" sizeWithCells="1">
                  <from>
                    <xdr:col>19</xdr:col>
                    <xdr:colOff>121920</xdr:colOff>
                    <xdr:row>17</xdr:row>
                    <xdr:rowOff>7620</xdr:rowOff>
                  </from>
                  <to>
                    <xdr:col>22</xdr:col>
                    <xdr:colOff>152400</xdr:colOff>
                    <xdr:row>19</xdr:row>
                    <xdr:rowOff>7620</xdr:rowOff>
                  </to>
                </anchor>
              </controlPr>
            </control>
          </mc:Choice>
        </mc:AlternateContent>
        <mc:AlternateContent xmlns:mc="http://schemas.openxmlformats.org/markup-compatibility/2006">
          <mc:Choice Requires="x14">
            <control shapeId="1031" r:id="rId10" name="Button 7">
              <controlPr defaultSize="0" print="0" autoFill="0" autoPict="0" macro="[0]!Kill_BuildTab">
                <anchor moveWithCells="1" sizeWithCells="1">
                  <from>
                    <xdr:col>2</xdr:col>
                    <xdr:colOff>190500</xdr:colOff>
                    <xdr:row>100</xdr:row>
                    <xdr:rowOff>68580</xdr:rowOff>
                  </from>
                  <to>
                    <xdr:col>11</xdr:col>
                    <xdr:colOff>60960</xdr:colOff>
                    <xdr:row>101</xdr:row>
                    <xdr:rowOff>152400</xdr:rowOff>
                  </to>
                </anchor>
              </controlPr>
            </control>
          </mc:Choice>
        </mc:AlternateContent>
        <mc:AlternateContent xmlns:mc="http://schemas.openxmlformats.org/markup-compatibility/2006">
          <mc:Choice Requires="x14">
            <control shapeId="1033" r:id="rId11" name="Button 9">
              <controlPr defaultSize="0" print="0" autoFill="0" autoPict="0" macro="[0]!Generate_Luck">
                <anchor moveWithCells="1" sizeWithCells="1">
                  <from>
                    <xdr:col>5</xdr:col>
                    <xdr:colOff>228600</xdr:colOff>
                    <xdr:row>32</xdr:row>
                    <xdr:rowOff>45720</xdr:rowOff>
                  </from>
                  <to>
                    <xdr:col>9</xdr:col>
                    <xdr:colOff>68580</xdr:colOff>
                    <xdr:row>33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79" yWindow="437" count="5">
        <x14:dataValidation type="list" allowBlank="1" showInputMessage="1" showErrorMessage="1" xr:uid="{7EC6C840-45D7-4D3C-848B-F6714569D9E7}">
          <x14:formula1>
            <xm:f>技能专攻!$B$4:$B$11</xm:f>
          </x14:formula1>
          <xm:sqref>D52:F52</xm:sqref>
        </x14:dataValidation>
        <x14:dataValidation type="list" allowBlank="1" showInputMessage="1" showErrorMessage="1" xr:uid="{5648D027-7A06-4AAC-B1FD-310362C81F73}">
          <x14:formula1>
            <xm:f>技能专攻!$H$4:$H$11</xm:f>
          </x14:formula1>
          <xm:sqref>D67</xm:sqref>
        </x14:dataValidation>
        <x14:dataValidation type="list" allowBlank="1" showInputMessage="1" showErrorMessage="1" xr:uid="{0203A099-7EE3-4FB8-AA97-F1BE92BED046}">
          <x14:formula1>
            <xm:f>技能专攻!$E$4:$E$16</xm:f>
          </x14:formula1>
          <xm:sqref>U63</xm:sqref>
        </x14:dataValidation>
        <x14:dataValidation type="list" allowBlank="1" showInputMessage="1" showErrorMessage="1" xr:uid="{5128E5CE-E49B-4D6E-93AC-92FB168D423B}">
          <x14:formula1>
            <xm:f>技能专攻!$K$4:$K$10</xm:f>
          </x14:formula1>
          <xm:sqref>D69 D70:F70</xm:sqref>
        </x14:dataValidation>
        <x14:dataValidation type="list" allowBlank="1" showInputMessage="1" showErrorMessage="1" promptTitle="Tips" prompt="此处是非常规技能下拉选单。_x000a_传说集合没有在此列出_x000a_请在【分支技能】中查看非常规技能的技能解释" xr:uid="{D081DFAB-0DB6-4019-9D6F-5315274A7385}">
          <x14:formula1>
            <xm:f>技能专攻!$N$4:$N$9</xm:f>
          </x14:formula1>
          <xm:sqref>S73:W73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Q89"/>
  <sheetViews>
    <sheetView showGridLines="0" showRowColHeaders="0" tabSelected="1" topLeftCell="A25" zoomScaleNormal="100" workbookViewId="0">
      <selection activeCell="P29" sqref="P29"/>
    </sheetView>
  </sheetViews>
  <sheetFormatPr defaultColWidth="3.21875" defaultRowHeight="15" x14ac:dyDescent="0.25"/>
  <cols>
    <col min="1" max="46" width="3.21875" style="38"/>
    <col min="47" max="47" width="3.44140625" style="38" bestFit="1" customWidth="1"/>
    <col min="48" max="16384" width="3.21875" style="38"/>
  </cols>
  <sheetData>
    <row r="1" spans="1:43" ht="15.6" thickBot="1" x14ac:dyDescent="0.3">
      <c r="N1" s="42"/>
      <c r="O1" s="42"/>
      <c r="P1" s="43"/>
      <c r="Q1" s="43"/>
      <c r="R1" s="43"/>
      <c r="S1" s="43"/>
      <c r="T1" s="43"/>
      <c r="U1" s="43"/>
      <c r="V1" s="43"/>
      <c r="W1" s="43"/>
      <c r="X1" s="43"/>
      <c r="Y1" s="43"/>
      <c r="Z1" s="43"/>
      <c r="AA1" s="43"/>
      <c r="AB1" s="43"/>
      <c r="AC1" s="43"/>
      <c r="AD1" s="43"/>
      <c r="AE1" s="43"/>
      <c r="AF1" s="42"/>
      <c r="AG1" s="42"/>
    </row>
    <row r="2" spans="1:43" x14ac:dyDescent="0.25">
      <c r="B2" s="243" t="str">
        <f>建卡!E8&amp;"  调查员信息"</f>
        <v>现代  调查员信息</v>
      </c>
      <c r="C2" s="244"/>
      <c r="D2" s="244"/>
      <c r="E2" s="244"/>
      <c r="F2" s="244"/>
      <c r="G2" s="244"/>
      <c r="H2" s="244"/>
      <c r="I2" s="244"/>
      <c r="J2" s="244"/>
      <c r="K2" s="244"/>
      <c r="L2" s="244"/>
      <c r="M2" s="244"/>
      <c r="N2" s="245"/>
      <c r="P2" s="329" t="s">
        <v>286</v>
      </c>
      <c r="Q2" s="330"/>
      <c r="R2" s="330"/>
      <c r="S2" s="330"/>
      <c r="T2" s="330"/>
      <c r="U2" s="330"/>
      <c r="V2" s="330"/>
      <c r="W2" s="330"/>
      <c r="X2" s="330"/>
      <c r="Y2" s="330"/>
      <c r="Z2" s="330"/>
      <c r="AA2" s="330"/>
      <c r="AB2" s="330"/>
      <c r="AC2" s="330"/>
      <c r="AD2" s="330"/>
      <c r="AE2" s="330"/>
      <c r="AF2" s="330"/>
      <c r="AG2" s="331"/>
      <c r="AI2" s="455"/>
      <c r="AJ2" s="456"/>
      <c r="AK2" s="456"/>
      <c r="AL2" s="456"/>
      <c r="AM2" s="456"/>
      <c r="AN2" s="456"/>
      <c r="AO2" s="456"/>
      <c r="AP2" s="456"/>
      <c r="AQ2" s="457"/>
    </row>
    <row r="3" spans="1:43" x14ac:dyDescent="0.25">
      <c r="B3" s="238" t="s">
        <v>0</v>
      </c>
      <c r="C3" s="239"/>
      <c r="D3" s="505" t="s">
        <v>736</v>
      </c>
      <c r="E3" s="506"/>
      <c r="F3" s="506"/>
      <c r="G3" s="506"/>
      <c r="H3" s="506"/>
      <c r="I3" s="506"/>
      <c r="J3" s="506"/>
      <c r="K3" s="506"/>
      <c r="L3" s="506"/>
      <c r="M3" s="506"/>
      <c r="N3" s="507"/>
      <c r="P3" s="225" t="s">
        <v>345</v>
      </c>
      <c r="Q3" s="226"/>
      <c r="R3" s="229">
        <f>建卡!D15</f>
        <v>55</v>
      </c>
      <c r="S3" s="229"/>
      <c r="T3" s="231">
        <f>INT(R3/2)</f>
        <v>27</v>
      </c>
      <c r="U3" s="231"/>
      <c r="V3" s="288" t="s">
        <v>347</v>
      </c>
      <c r="W3" s="288"/>
      <c r="X3" s="521">
        <f>建卡!J15</f>
        <v>70</v>
      </c>
      <c r="Y3" s="522"/>
      <c r="Z3" s="236">
        <f>INT(X3/2)</f>
        <v>35</v>
      </c>
      <c r="AA3" s="236"/>
      <c r="AB3" s="293" t="s">
        <v>591</v>
      </c>
      <c r="AC3" s="226"/>
      <c r="AD3" s="517">
        <f>建卡!P15</f>
        <v>75</v>
      </c>
      <c r="AE3" s="518"/>
      <c r="AF3" s="231">
        <f>INT(AD3/2)</f>
        <v>37</v>
      </c>
      <c r="AG3" s="292"/>
      <c r="AI3" s="458"/>
      <c r="AJ3" s="459"/>
      <c r="AK3" s="459"/>
      <c r="AL3" s="459"/>
      <c r="AM3" s="459"/>
      <c r="AN3" s="459"/>
      <c r="AO3" s="459"/>
      <c r="AP3" s="459"/>
      <c r="AQ3" s="460"/>
    </row>
    <row r="4" spans="1:43" x14ac:dyDescent="0.25">
      <c r="B4" s="246" t="s">
        <v>1</v>
      </c>
      <c r="C4" s="247"/>
      <c r="D4" s="248" t="str">
        <f>IF(ISBLANK(建卡!D26)," ",建卡!D26)</f>
        <v>杨三</v>
      </c>
      <c r="E4" s="249"/>
      <c r="F4" s="249"/>
      <c r="G4" s="249"/>
      <c r="H4" s="249"/>
      <c r="I4" s="249"/>
      <c r="J4" s="249"/>
      <c r="K4" s="249"/>
      <c r="L4" s="249"/>
      <c r="M4" s="249"/>
      <c r="N4" s="250"/>
      <c r="P4" s="225"/>
      <c r="Q4" s="226"/>
      <c r="R4" s="229"/>
      <c r="S4" s="229"/>
      <c r="T4" s="291">
        <f>INT(R3/5)</f>
        <v>11</v>
      </c>
      <c r="U4" s="291"/>
      <c r="V4" s="288"/>
      <c r="W4" s="288"/>
      <c r="X4" s="523"/>
      <c r="Y4" s="524"/>
      <c r="Z4" s="236">
        <f>INT(X3/5)</f>
        <v>14</v>
      </c>
      <c r="AA4" s="236"/>
      <c r="AB4" s="226"/>
      <c r="AC4" s="226"/>
      <c r="AD4" s="519"/>
      <c r="AE4" s="520"/>
      <c r="AF4" s="231">
        <f>INT(AD3/5)</f>
        <v>15</v>
      </c>
      <c r="AG4" s="292"/>
      <c r="AI4" s="458"/>
      <c r="AJ4" s="459"/>
      <c r="AK4" s="459"/>
      <c r="AL4" s="459"/>
      <c r="AM4" s="459"/>
      <c r="AN4" s="459"/>
      <c r="AO4" s="459"/>
      <c r="AP4" s="459"/>
      <c r="AQ4" s="460"/>
    </row>
    <row r="5" spans="1:43" x14ac:dyDescent="0.25">
      <c r="B5" s="238" t="s">
        <v>2</v>
      </c>
      <c r="C5" s="239"/>
      <c r="D5" s="505" t="str">
        <f>IF(ISBLANK(建卡!D27)," ",建卡!D27)</f>
        <v>间谍</v>
      </c>
      <c r="E5" s="506"/>
      <c r="F5" s="506"/>
      <c r="G5" s="506"/>
      <c r="H5" s="506"/>
      <c r="I5" s="506"/>
      <c r="J5" s="506"/>
      <c r="K5" s="506"/>
      <c r="L5" s="506"/>
      <c r="M5" s="506"/>
      <c r="N5" s="507"/>
      <c r="P5" s="312" t="s">
        <v>346</v>
      </c>
      <c r="Q5" s="288"/>
      <c r="R5" s="521">
        <f>建卡!D17</f>
        <v>50</v>
      </c>
      <c r="S5" s="522"/>
      <c r="T5" s="236">
        <f t="shared" ref="T5" si="0">INT(R5/2)</f>
        <v>25</v>
      </c>
      <c r="U5" s="236"/>
      <c r="V5" s="226" t="s">
        <v>424</v>
      </c>
      <c r="W5" s="226"/>
      <c r="X5" s="517">
        <f>建卡!J17</f>
        <v>75</v>
      </c>
      <c r="Y5" s="518"/>
      <c r="Z5" s="231">
        <f t="shared" ref="Z5" si="1">INT(X5/2)</f>
        <v>37</v>
      </c>
      <c r="AA5" s="231"/>
      <c r="AB5" s="288" t="s">
        <v>551</v>
      </c>
      <c r="AC5" s="288"/>
      <c r="AD5" s="521">
        <f>建卡!P17</f>
        <v>55</v>
      </c>
      <c r="AE5" s="522"/>
      <c r="AF5" s="236">
        <f>INT(AD5/2)</f>
        <v>27</v>
      </c>
      <c r="AG5" s="257"/>
      <c r="AI5" s="458"/>
      <c r="AJ5" s="459"/>
      <c r="AK5" s="459"/>
      <c r="AL5" s="459"/>
      <c r="AM5" s="459"/>
      <c r="AN5" s="459"/>
      <c r="AO5" s="459"/>
      <c r="AP5" s="459"/>
      <c r="AQ5" s="460"/>
    </row>
    <row r="6" spans="1:43" x14ac:dyDescent="0.25">
      <c r="B6" s="246" t="s">
        <v>3</v>
      </c>
      <c r="C6" s="247"/>
      <c r="D6" s="325">
        <f>IF(ISBLANK(建卡!D28)," ",建卡!D28)</f>
        <v>27</v>
      </c>
      <c r="E6" s="326"/>
      <c r="F6" s="326"/>
      <c r="G6" s="326"/>
      <c r="H6" s="327"/>
      <c r="I6" s="328" t="s">
        <v>4</v>
      </c>
      <c r="J6" s="247"/>
      <c r="K6" s="557" t="str">
        <f>IF(ISBLANK(建卡!K28)," ",建卡!K28)</f>
        <v>男</v>
      </c>
      <c r="L6" s="557"/>
      <c r="M6" s="557"/>
      <c r="N6" s="558"/>
      <c r="P6" s="312"/>
      <c r="Q6" s="288"/>
      <c r="R6" s="523"/>
      <c r="S6" s="524"/>
      <c r="T6" s="294">
        <f t="shared" ref="T6" si="2">INT(R5/5)</f>
        <v>10</v>
      </c>
      <c r="U6" s="294"/>
      <c r="V6" s="226"/>
      <c r="W6" s="226"/>
      <c r="X6" s="519"/>
      <c r="Y6" s="520"/>
      <c r="Z6" s="231">
        <f t="shared" ref="Z6" si="3">INT(X5/5)</f>
        <v>15</v>
      </c>
      <c r="AA6" s="231"/>
      <c r="AB6" s="288"/>
      <c r="AC6" s="288"/>
      <c r="AD6" s="523"/>
      <c r="AE6" s="524"/>
      <c r="AF6" s="236">
        <f>INT(AD5/5)</f>
        <v>11</v>
      </c>
      <c r="AG6" s="257"/>
      <c r="AI6" s="458"/>
      <c r="AJ6" s="459"/>
      <c r="AK6" s="459"/>
      <c r="AL6" s="459"/>
      <c r="AM6" s="459"/>
      <c r="AN6" s="459"/>
      <c r="AO6" s="459"/>
      <c r="AP6" s="459"/>
      <c r="AQ6" s="460"/>
    </row>
    <row r="7" spans="1:43" x14ac:dyDescent="0.25">
      <c r="B7" s="238" t="s">
        <v>287</v>
      </c>
      <c r="C7" s="239"/>
      <c r="D7" s="449" t="str">
        <f>IF(ISBLANK(建卡!D29)," ",建卡!D29)</f>
        <v xml:space="preserve"> </v>
      </c>
      <c r="E7" s="450"/>
      <c r="F7" s="450"/>
      <c r="G7" s="450"/>
      <c r="H7" s="450"/>
      <c r="I7" s="450"/>
      <c r="J7" s="450"/>
      <c r="K7" s="450"/>
      <c r="L7" s="450"/>
      <c r="M7" s="450"/>
      <c r="N7" s="451"/>
      <c r="P7" s="225" t="s">
        <v>5</v>
      </c>
      <c r="Q7" s="226"/>
      <c r="R7" s="517">
        <f>建卡!D19</f>
        <v>40</v>
      </c>
      <c r="S7" s="518"/>
      <c r="T7" s="231">
        <f t="shared" ref="T7" si="4">INT(R7/2)</f>
        <v>20</v>
      </c>
      <c r="U7" s="231"/>
      <c r="V7" s="232" t="s">
        <v>550</v>
      </c>
      <c r="W7" s="232"/>
      <c r="X7" s="521">
        <f>建卡!J19</f>
        <v>75</v>
      </c>
      <c r="Y7" s="522"/>
      <c r="Z7" s="236">
        <f t="shared" ref="Z7" si="5">INT(X7/2)</f>
        <v>37</v>
      </c>
      <c r="AA7" s="236"/>
      <c r="AB7" s="226" t="s">
        <v>548</v>
      </c>
      <c r="AC7" s="226"/>
      <c r="AD7" s="525">
        <f>建卡!X34</f>
        <v>9</v>
      </c>
      <c r="AE7" s="525"/>
      <c r="AF7" s="527" t="s">
        <v>344</v>
      </c>
      <c r="AG7" s="528"/>
      <c r="AI7" s="458"/>
      <c r="AJ7" s="459"/>
      <c r="AK7" s="459"/>
      <c r="AL7" s="459"/>
      <c r="AM7" s="459"/>
      <c r="AN7" s="459"/>
      <c r="AO7" s="459"/>
      <c r="AP7" s="459"/>
      <c r="AQ7" s="460"/>
    </row>
    <row r="8" spans="1:43" ht="15.6" thickBot="1" x14ac:dyDescent="0.3">
      <c r="B8" s="335" t="s">
        <v>559</v>
      </c>
      <c r="C8" s="336"/>
      <c r="D8" s="452" t="str">
        <f>IF(ISBLANK(建卡!D30)," ",建卡!D30)</f>
        <v xml:space="preserve"> </v>
      </c>
      <c r="E8" s="453"/>
      <c r="F8" s="453"/>
      <c r="G8" s="453"/>
      <c r="H8" s="453"/>
      <c r="I8" s="453"/>
      <c r="J8" s="453"/>
      <c r="K8" s="453"/>
      <c r="L8" s="453"/>
      <c r="M8" s="453"/>
      <c r="N8" s="454"/>
      <c r="P8" s="227"/>
      <c r="Q8" s="228"/>
      <c r="R8" s="555"/>
      <c r="S8" s="556"/>
      <c r="T8" s="237">
        <f t="shared" ref="T8" si="6">INT(R7/5)</f>
        <v>8</v>
      </c>
      <c r="U8" s="237"/>
      <c r="V8" s="233"/>
      <c r="W8" s="233"/>
      <c r="X8" s="553"/>
      <c r="Y8" s="554"/>
      <c r="Z8" s="265">
        <f t="shared" ref="Z8" si="7">INT(X7/5)</f>
        <v>15</v>
      </c>
      <c r="AA8" s="265"/>
      <c r="AB8" s="228"/>
      <c r="AC8" s="228"/>
      <c r="AD8" s="526"/>
      <c r="AE8" s="526"/>
      <c r="AF8" s="529">
        <v>0</v>
      </c>
      <c r="AG8" s="530"/>
      <c r="AI8" s="458"/>
      <c r="AJ8" s="459"/>
      <c r="AK8" s="459"/>
      <c r="AL8" s="459"/>
      <c r="AM8" s="459"/>
      <c r="AN8" s="459"/>
      <c r="AO8" s="459"/>
      <c r="AP8" s="459"/>
      <c r="AQ8" s="460"/>
    </row>
    <row r="9" spans="1:43" ht="15.6" thickBot="1" x14ac:dyDescent="0.3">
      <c r="A9" s="44"/>
      <c r="B9" s="44"/>
      <c r="C9" s="44"/>
      <c r="D9" s="44"/>
      <c r="E9" s="44"/>
      <c r="AI9" s="458"/>
      <c r="AJ9" s="459"/>
      <c r="AK9" s="459"/>
      <c r="AL9" s="459"/>
      <c r="AM9" s="459"/>
      <c r="AN9" s="459"/>
      <c r="AO9" s="459"/>
      <c r="AP9" s="459"/>
      <c r="AQ9" s="460"/>
    </row>
    <row r="10" spans="1:43" x14ac:dyDescent="0.25">
      <c r="B10" s="262" t="s">
        <v>609</v>
      </c>
      <c r="C10" s="299"/>
      <c r="D10" s="499"/>
      <c r="E10" s="478">
        <f>建卡!AA34</f>
        <v>9</v>
      </c>
      <c r="F10" s="478"/>
      <c r="G10" s="478"/>
      <c r="H10" s="480">
        <f>建卡!AA34</f>
        <v>9</v>
      </c>
      <c r="I10" s="480"/>
      <c r="J10" s="481"/>
      <c r="K10" s="473" t="s">
        <v>611</v>
      </c>
      <c r="L10" s="474"/>
      <c r="M10" s="475"/>
      <c r="N10" s="511">
        <f>建卡!AD34</f>
        <v>55</v>
      </c>
      <c r="O10" s="490"/>
      <c r="P10" s="490"/>
      <c r="Q10" s="493">
        <f>99-SUM(H27:K27)</f>
        <v>99</v>
      </c>
      <c r="R10" s="493"/>
      <c r="S10" s="513"/>
      <c r="T10" s="263" t="s">
        <v>570</v>
      </c>
      <c r="U10" s="299"/>
      <c r="V10" s="499"/>
      <c r="W10" s="478">
        <f>建卡!D33</f>
        <v>70</v>
      </c>
      <c r="X10" s="478"/>
      <c r="Y10" s="480">
        <v>99</v>
      </c>
      <c r="Z10" s="481"/>
      <c r="AA10" s="473" t="s">
        <v>610</v>
      </c>
      <c r="AB10" s="474"/>
      <c r="AC10" s="475"/>
      <c r="AD10" s="490">
        <f>建卡!AG34</f>
        <v>11</v>
      </c>
      <c r="AE10" s="490"/>
      <c r="AF10" s="493">
        <f>建卡!AG34</f>
        <v>11</v>
      </c>
      <c r="AG10" s="494"/>
      <c r="AI10" s="458"/>
      <c r="AJ10" s="459"/>
      <c r="AK10" s="459"/>
      <c r="AL10" s="459"/>
      <c r="AM10" s="459"/>
      <c r="AN10" s="459"/>
      <c r="AO10" s="459"/>
      <c r="AP10" s="459"/>
      <c r="AQ10" s="460"/>
    </row>
    <row r="11" spans="1:43" x14ac:dyDescent="0.25">
      <c r="B11" s="516"/>
      <c r="C11" s="500"/>
      <c r="D11" s="501"/>
      <c r="E11" s="479"/>
      <c r="F11" s="479"/>
      <c r="G11" s="479"/>
      <c r="H11" s="482"/>
      <c r="I11" s="482"/>
      <c r="J11" s="483"/>
      <c r="K11" s="476"/>
      <c r="L11" s="476"/>
      <c r="M11" s="477"/>
      <c r="N11" s="512"/>
      <c r="O11" s="512"/>
      <c r="P11" s="512"/>
      <c r="Q11" s="514"/>
      <c r="R11" s="514"/>
      <c r="S11" s="515"/>
      <c r="T11" s="500"/>
      <c r="U11" s="500"/>
      <c r="V11" s="501"/>
      <c r="W11" s="484"/>
      <c r="X11" s="484"/>
      <c r="Y11" s="486"/>
      <c r="Z11" s="487"/>
      <c r="AA11" s="476"/>
      <c r="AB11" s="476"/>
      <c r="AC11" s="477"/>
      <c r="AD11" s="491"/>
      <c r="AE11" s="491"/>
      <c r="AF11" s="495"/>
      <c r="AG11" s="496"/>
      <c r="AI11" s="458"/>
      <c r="AJ11" s="459"/>
      <c r="AK11" s="459"/>
      <c r="AL11" s="459"/>
      <c r="AM11" s="459"/>
      <c r="AN11" s="459"/>
      <c r="AO11" s="459"/>
      <c r="AP11" s="459"/>
      <c r="AQ11" s="460"/>
    </row>
    <row r="12" spans="1:43" ht="15.6" thickBot="1" x14ac:dyDescent="0.3">
      <c r="B12" s="300"/>
      <c r="C12" s="276"/>
      <c r="D12" s="283"/>
      <c r="E12" s="31" t="s">
        <v>419</v>
      </c>
      <c r="F12" s="142" t="s">
        <v>47</v>
      </c>
      <c r="G12" s="142"/>
      <c r="H12" s="31" t="s">
        <v>546</v>
      </c>
      <c r="I12" s="142" t="s">
        <v>49</v>
      </c>
      <c r="J12" s="508"/>
      <c r="K12" s="145"/>
      <c r="L12" s="145"/>
      <c r="M12" s="349"/>
      <c r="N12" s="58" t="s">
        <v>546</v>
      </c>
      <c r="O12" s="509" t="s">
        <v>544</v>
      </c>
      <c r="P12" s="509"/>
      <c r="Q12" s="58" t="s">
        <v>546</v>
      </c>
      <c r="R12" s="509" t="s">
        <v>545</v>
      </c>
      <c r="S12" s="510"/>
      <c r="T12" s="276"/>
      <c r="U12" s="276"/>
      <c r="V12" s="283"/>
      <c r="W12" s="485"/>
      <c r="X12" s="485"/>
      <c r="Y12" s="488"/>
      <c r="Z12" s="489"/>
      <c r="AA12" s="145"/>
      <c r="AB12" s="145"/>
      <c r="AC12" s="349"/>
      <c r="AD12" s="492"/>
      <c r="AE12" s="492"/>
      <c r="AF12" s="497"/>
      <c r="AG12" s="498"/>
      <c r="AI12" s="461"/>
      <c r="AJ12" s="462"/>
      <c r="AK12" s="462"/>
      <c r="AL12" s="462"/>
      <c r="AM12" s="462"/>
      <c r="AN12" s="462"/>
      <c r="AO12" s="462"/>
      <c r="AP12" s="462"/>
      <c r="AQ12" s="463"/>
    </row>
    <row r="13" spans="1:43" ht="15.6" thickBot="1" x14ac:dyDescent="0.4">
      <c r="B13" s="45"/>
      <c r="C13" s="45"/>
      <c r="E13" s="46"/>
      <c r="F13" s="47"/>
      <c r="G13" s="47"/>
      <c r="H13" s="47"/>
      <c r="I13" s="47"/>
      <c r="J13" s="47"/>
      <c r="K13" s="47"/>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row>
    <row r="14" spans="1:43" x14ac:dyDescent="0.25">
      <c r="B14" s="502" t="s">
        <v>12</v>
      </c>
      <c r="C14" s="503"/>
      <c r="D14" s="503"/>
      <c r="E14" s="503"/>
      <c r="F14" s="503"/>
      <c r="G14" s="503"/>
      <c r="H14" s="503"/>
      <c r="I14" s="503"/>
      <c r="J14" s="503"/>
      <c r="K14" s="503"/>
      <c r="L14" s="503"/>
      <c r="M14" s="503"/>
      <c r="N14" s="503"/>
      <c r="O14" s="503"/>
      <c r="P14" s="503"/>
      <c r="Q14" s="503"/>
      <c r="R14" s="503"/>
      <c r="S14" s="503"/>
      <c r="T14" s="503"/>
      <c r="U14" s="503"/>
      <c r="V14" s="503"/>
      <c r="W14" s="503"/>
      <c r="X14" s="503"/>
      <c r="Y14" s="503"/>
      <c r="Z14" s="503"/>
      <c r="AA14" s="503"/>
      <c r="AB14" s="503"/>
      <c r="AC14" s="503"/>
      <c r="AD14" s="503"/>
      <c r="AE14" s="503"/>
      <c r="AF14" s="503"/>
      <c r="AG14" s="503"/>
      <c r="AH14" s="503"/>
      <c r="AI14" s="503"/>
      <c r="AJ14" s="503"/>
      <c r="AK14" s="503"/>
      <c r="AL14" s="503"/>
      <c r="AM14" s="503"/>
      <c r="AN14" s="503"/>
      <c r="AO14" s="503"/>
      <c r="AP14" s="503"/>
      <c r="AQ14" s="504"/>
    </row>
    <row r="15" spans="1:43" x14ac:dyDescent="0.25">
      <c r="B15" s="49"/>
      <c r="C15" s="470" t="s">
        <v>359</v>
      </c>
      <c r="D15" s="470"/>
      <c r="E15" s="470"/>
      <c r="F15" s="470"/>
      <c r="G15" s="470"/>
      <c r="H15" s="470" t="s">
        <v>586</v>
      </c>
      <c r="I15" s="470"/>
      <c r="J15" s="470" t="s">
        <v>549</v>
      </c>
      <c r="K15" s="470"/>
      <c r="L15" s="470" t="s">
        <v>8</v>
      </c>
      <c r="M15" s="470"/>
      <c r="N15" s="470"/>
      <c r="O15" s="471"/>
      <c r="P15" s="50"/>
      <c r="Q15" s="470" t="s">
        <v>359</v>
      </c>
      <c r="R15" s="470"/>
      <c r="S15" s="470"/>
      <c r="T15" s="470"/>
      <c r="U15" s="470"/>
      <c r="V15" s="470" t="s">
        <v>586</v>
      </c>
      <c r="W15" s="470"/>
      <c r="X15" s="470" t="s">
        <v>549</v>
      </c>
      <c r="Y15" s="470"/>
      <c r="Z15" s="470" t="s">
        <v>8</v>
      </c>
      <c r="AA15" s="470"/>
      <c r="AB15" s="470"/>
      <c r="AC15" s="471"/>
      <c r="AD15" s="50"/>
      <c r="AE15" s="470" t="s">
        <v>359</v>
      </c>
      <c r="AF15" s="470"/>
      <c r="AG15" s="470"/>
      <c r="AH15" s="470"/>
      <c r="AI15" s="470"/>
      <c r="AJ15" s="470" t="s">
        <v>586</v>
      </c>
      <c r="AK15" s="470"/>
      <c r="AL15" s="470" t="s">
        <v>549</v>
      </c>
      <c r="AM15" s="470"/>
      <c r="AN15" s="470" t="s">
        <v>8</v>
      </c>
      <c r="AO15" s="470"/>
      <c r="AP15" s="470"/>
      <c r="AQ15" s="590"/>
    </row>
    <row r="16" spans="1:43" x14ac:dyDescent="0.25">
      <c r="B16" s="32" t="s">
        <v>419</v>
      </c>
      <c r="C16" s="468" t="str">
        <f>IF(ISBLANK(建卡!D48),建卡!B48,建卡!B48&amp;建卡!D48)</f>
        <v>会计</v>
      </c>
      <c r="D16" s="468"/>
      <c r="E16" s="468"/>
      <c r="F16" s="468"/>
      <c r="G16" s="468"/>
      <c r="H16" s="469">
        <f>建卡!M48</f>
        <v>5</v>
      </c>
      <c r="I16" s="469"/>
      <c r="J16" s="469"/>
      <c r="K16" s="469"/>
      <c r="L16" s="182" t="str">
        <f>SUM(H16:K16)&amp;"% ("&amp;INT(SUM(H16:K16)/2)&amp;"/"&amp;INT(SUM(H16:K16)/5)&amp;")"</f>
        <v>5% (2/1)</v>
      </c>
      <c r="M16" s="182"/>
      <c r="N16" s="182"/>
      <c r="O16" s="472"/>
      <c r="P16" s="28" t="s">
        <v>546</v>
      </c>
      <c r="Q16" s="468" t="str">
        <f>IF(ISBLANK(建卡!D69),建卡!B69,建卡!B69&amp;建卡!D69)</f>
        <v>射击:手枪</v>
      </c>
      <c r="R16" s="468"/>
      <c r="S16" s="468"/>
      <c r="T16" s="468"/>
      <c r="U16" s="468"/>
      <c r="V16" s="469">
        <f>建卡!M69</f>
        <v>20</v>
      </c>
      <c r="W16" s="469"/>
      <c r="X16" s="469"/>
      <c r="Y16" s="469"/>
      <c r="Z16" s="182" t="str">
        <f t="shared" ref="Z16" si="8">SUM(V16:Y16)&amp;"% ("&amp;INT(SUM(V16:Y16)/2)&amp;"/"&amp;INT(SUM(V16:Y16)/5)&amp;")"</f>
        <v>20% (10/4)</v>
      </c>
      <c r="AA16" s="182"/>
      <c r="AB16" s="182"/>
      <c r="AC16" s="472"/>
      <c r="AD16" s="28" t="s">
        <v>546</v>
      </c>
      <c r="AE16" s="468" t="str">
        <f>IF(ISBLANK(建卡!U58),建卡!S58,建卡!S58&amp;建卡!U58)</f>
        <v>说服</v>
      </c>
      <c r="AF16" s="468"/>
      <c r="AG16" s="468"/>
      <c r="AH16" s="468"/>
      <c r="AI16" s="468"/>
      <c r="AJ16" s="469">
        <f>建卡!AD58</f>
        <v>10</v>
      </c>
      <c r="AK16" s="469"/>
      <c r="AL16" s="469"/>
      <c r="AM16" s="469"/>
      <c r="AN16" s="182" t="str">
        <f>SUM(AJ16:AM16)&amp;"% ("&amp;INT(SUM(AJ16:AM16)/2)&amp;"/"&amp;INT(SUM(AJ16:AM16)/5)&amp;")"</f>
        <v>10% (5/2)</v>
      </c>
      <c r="AO16" s="182"/>
      <c r="AP16" s="182"/>
      <c r="AQ16" s="552"/>
    </row>
    <row r="17" spans="2:43" x14ac:dyDescent="0.25">
      <c r="B17" s="33" t="s">
        <v>419</v>
      </c>
      <c r="C17" s="160" t="str">
        <f>IF(ISBLANK(建卡!D49),建卡!B49,建卡!B49&amp;建卡!D49)</f>
        <v>人类学</v>
      </c>
      <c r="D17" s="160"/>
      <c r="E17" s="160"/>
      <c r="F17" s="160"/>
      <c r="G17" s="160"/>
      <c r="H17" s="447">
        <f>建卡!M49</f>
        <v>1</v>
      </c>
      <c r="I17" s="447"/>
      <c r="J17" s="447"/>
      <c r="K17" s="447"/>
      <c r="L17" s="179" t="str">
        <f t="shared" ref="L17:L36" si="9">SUM(H17:K17)&amp;"% ("&amp;INT(SUM(H17:K17)/2)&amp;"/"&amp;INT(SUM(H17:K17)/5)&amp;")"</f>
        <v>1% (0/0)</v>
      </c>
      <c r="M17" s="179"/>
      <c r="N17" s="179"/>
      <c r="O17" s="448"/>
      <c r="P17" s="30" t="s">
        <v>546</v>
      </c>
      <c r="Q17" s="160" t="str">
        <f>IF(ISBLANK(建卡!D70),建卡!B70,建卡!B70&amp;建卡!D70)</f>
        <v>射击:步枪/霰弹枪</v>
      </c>
      <c r="R17" s="160"/>
      <c r="S17" s="160"/>
      <c r="T17" s="160"/>
      <c r="U17" s="160"/>
      <c r="V17" s="447">
        <f>建卡!M70</f>
        <v>25</v>
      </c>
      <c r="W17" s="447"/>
      <c r="X17" s="447"/>
      <c r="Y17" s="447"/>
      <c r="Z17" s="179" t="str">
        <f t="shared" ref="Z17:Z26" si="10">SUM(V17:Y17)&amp;"% ("&amp;INT(SUM(V17:Y17)/2)&amp;"/"&amp;INT(SUM(V17:Y17)/5)&amp;")"</f>
        <v>25% (12/5)</v>
      </c>
      <c r="AA17" s="179"/>
      <c r="AB17" s="179"/>
      <c r="AC17" s="448"/>
      <c r="AD17" s="30" t="s">
        <v>546</v>
      </c>
      <c r="AE17" s="160" t="str">
        <f>IF(ISBLANK(建卡!U59),建卡!S59,建卡!S59&amp;建卡!U59)</f>
        <v>驾驶:</v>
      </c>
      <c r="AF17" s="160"/>
      <c r="AG17" s="160"/>
      <c r="AH17" s="160"/>
      <c r="AI17" s="160"/>
      <c r="AJ17" s="447">
        <f>建卡!AD59</f>
        <v>1</v>
      </c>
      <c r="AK17" s="447"/>
      <c r="AL17" s="447"/>
      <c r="AM17" s="447"/>
      <c r="AN17" s="179" t="str">
        <f t="shared" ref="AN17:AN36" si="11">SUM(AJ17:AM17)&amp;"% ("&amp;INT(SUM(AJ17:AM17)/2)&amp;"/"&amp;INT(SUM(AJ17:AM17)/5)&amp;")"</f>
        <v>1% (0/0)</v>
      </c>
      <c r="AO17" s="179"/>
      <c r="AP17" s="179"/>
      <c r="AQ17" s="467"/>
    </row>
    <row r="18" spans="2:43" x14ac:dyDescent="0.25">
      <c r="B18" s="32" t="s">
        <v>419</v>
      </c>
      <c r="C18" s="468" t="str">
        <f>IF(ISBLANK(建卡!D50),建卡!B50,建卡!B50&amp;建卡!D50)</f>
        <v>估价</v>
      </c>
      <c r="D18" s="468"/>
      <c r="E18" s="468"/>
      <c r="F18" s="468"/>
      <c r="G18" s="468"/>
      <c r="H18" s="469">
        <f>建卡!M50</f>
        <v>5</v>
      </c>
      <c r="I18" s="469"/>
      <c r="J18" s="469"/>
      <c r="K18" s="469"/>
      <c r="L18" s="182" t="str">
        <f t="shared" si="9"/>
        <v>5% (2/1)</v>
      </c>
      <c r="M18" s="182"/>
      <c r="N18" s="182"/>
      <c r="O18" s="472"/>
      <c r="P18" s="28" t="s">
        <v>750</v>
      </c>
      <c r="Q18" s="468" t="str">
        <f>IF(ISBLANK(建卡!D71),建卡!B71,建卡!B71&amp;建卡!D71)</f>
        <v>射击:</v>
      </c>
      <c r="R18" s="468"/>
      <c r="S18" s="468"/>
      <c r="T18" s="468"/>
      <c r="U18" s="468"/>
      <c r="V18" s="469">
        <f>建卡!M71</f>
        <v>0</v>
      </c>
      <c r="W18" s="469"/>
      <c r="X18" s="469"/>
      <c r="Y18" s="469"/>
      <c r="Z18" s="182" t="str">
        <f t="shared" si="10"/>
        <v>0% (0/0)</v>
      </c>
      <c r="AA18" s="182"/>
      <c r="AB18" s="182"/>
      <c r="AC18" s="472"/>
      <c r="AD18" s="28" t="s">
        <v>546</v>
      </c>
      <c r="AE18" s="468" t="str">
        <f>IF(ISBLANK(建卡!U60),建卡!S60,建卡!S60&amp;建卡!U60)</f>
        <v>精神分析</v>
      </c>
      <c r="AF18" s="468"/>
      <c r="AG18" s="468"/>
      <c r="AH18" s="468"/>
      <c r="AI18" s="468"/>
      <c r="AJ18" s="469">
        <f>建卡!AD60</f>
        <v>1</v>
      </c>
      <c r="AK18" s="469"/>
      <c r="AL18" s="469"/>
      <c r="AM18" s="469"/>
      <c r="AN18" s="182" t="str">
        <f t="shared" si="11"/>
        <v>1% (0/0)</v>
      </c>
      <c r="AO18" s="182"/>
      <c r="AP18" s="182"/>
      <c r="AQ18" s="552"/>
    </row>
    <row r="19" spans="2:43" x14ac:dyDescent="0.25">
      <c r="B19" s="33" t="s">
        <v>419</v>
      </c>
      <c r="C19" s="160" t="str">
        <f>IF(ISBLANK(建卡!D51),建卡!B51,建卡!B51&amp;建卡!D51)</f>
        <v>考古学</v>
      </c>
      <c r="D19" s="160"/>
      <c r="E19" s="160"/>
      <c r="F19" s="160"/>
      <c r="G19" s="160"/>
      <c r="H19" s="447">
        <f>建卡!M51</f>
        <v>1</v>
      </c>
      <c r="I19" s="447"/>
      <c r="J19" s="447"/>
      <c r="K19" s="447"/>
      <c r="L19" s="179" t="str">
        <f t="shared" si="9"/>
        <v>1% (0/0)</v>
      </c>
      <c r="M19" s="179"/>
      <c r="N19" s="179"/>
      <c r="O19" s="448"/>
      <c r="P19" s="30" t="s">
        <v>546</v>
      </c>
      <c r="Q19" s="160" t="str">
        <f>IF(ISBLANK(建卡!D72),建卡!B72,建卡!B72&amp;建卡!D72)</f>
        <v>急救</v>
      </c>
      <c r="R19" s="160"/>
      <c r="S19" s="160"/>
      <c r="T19" s="160"/>
      <c r="U19" s="160"/>
      <c r="V19" s="447">
        <f>建卡!M72</f>
        <v>30</v>
      </c>
      <c r="W19" s="447"/>
      <c r="X19" s="447"/>
      <c r="Y19" s="447"/>
      <c r="Z19" s="179" t="str">
        <f t="shared" si="10"/>
        <v>30% (15/6)</v>
      </c>
      <c r="AA19" s="179"/>
      <c r="AB19" s="179"/>
      <c r="AC19" s="448"/>
      <c r="AD19" s="30" t="s">
        <v>750</v>
      </c>
      <c r="AE19" s="160" t="str">
        <f>IF(ISBLANK(建卡!U61),建卡!S61,建卡!S61&amp;建卡!U61)</f>
        <v>心理学</v>
      </c>
      <c r="AF19" s="160"/>
      <c r="AG19" s="160"/>
      <c r="AH19" s="160"/>
      <c r="AI19" s="160"/>
      <c r="AJ19" s="447">
        <f>建卡!AD61</f>
        <v>60</v>
      </c>
      <c r="AK19" s="447"/>
      <c r="AL19" s="447"/>
      <c r="AM19" s="447"/>
      <c r="AN19" s="179" t="str">
        <f t="shared" si="11"/>
        <v>60% (30/12)</v>
      </c>
      <c r="AO19" s="179"/>
      <c r="AP19" s="179"/>
      <c r="AQ19" s="467"/>
    </row>
    <row r="20" spans="2:43" x14ac:dyDescent="0.25">
      <c r="B20" s="32" t="s">
        <v>419</v>
      </c>
      <c r="C20" s="468" t="str">
        <f>IF(ISBLANK(建卡!D52),建卡!B52,建卡!B52&amp;建卡!D52)</f>
        <v>技艺:</v>
      </c>
      <c r="D20" s="468"/>
      <c r="E20" s="468"/>
      <c r="F20" s="468"/>
      <c r="G20" s="468"/>
      <c r="H20" s="469">
        <f>建卡!M52</f>
        <v>5</v>
      </c>
      <c r="I20" s="469"/>
      <c r="J20" s="469"/>
      <c r="K20" s="469"/>
      <c r="L20" s="182" t="str">
        <f t="shared" si="9"/>
        <v>5% (2/1)</v>
      </c>
      <c r="M20" s="182"/>
      <c r="N20" s="182"/>
      <c r="O20" s="472"/>
      <c r="P20" s="28" t="s">
        <v>546</v>
      </c>
      <c r="Q20" s="468" t="str">
        <f>IF(ISBLANK(建卡!D73),建卡!B73,建卡!B73&amp;建卡!D73)</f>
        <v>历史</v>
      </c>
      <c r="R20" s="468"/>
      <c r="S20" s="468"/>
      <c r="T20" s="468"/>
      <c r="U20" s="468"/>
      <c r="V20" s="469">
        <f>建卡!M73</f>
        <v>5</v>
      </c>
      <c r="W20" s="469"/>
      <c r="X20" s="469"/>
      <c r="Y20" s="469"/>
      <c r="Z20" s="182" t="str">
        <f t="shared" si="10"/>
        <v>5% (2/1)</v>
      </c>
      <c r="AA20" s="182"/>
      <c r="AB20" s="182"/>
      <c r="AC20" s="472"/>
      <c r="AD20" s="28" t="s">
        <v>546</v>
      </c>
      <c r="AE20" s="468" t="str">
        <f>IF(ISBLANK(建卡!U62),建卡!S62,建卡!S62&amp;建卡!U62)</f>
        <v>骑术</v>
      </c>
      <c r="AF20" s="468"/>
      <c r="AG20" s="468"/>
      <c r="AH20" s="468"/>
      <c r="AI20" s="468"/>
      <c r="AJ20" s="469">
        <f>建卡!AD62</f>
        <v>5</v>
      </c>
      <c r="AK20" s="469"/>
      <c r="AL20" s="469"/>
      <c r="AM20" s="469"/>
      <c r="AN20" s="182" t="str">
        <f t="shared" si="11"/>
        <v>5% (2/1)</v>
      </c>
      <c r="AO20" s="182"/>
      <c r="AP20" s="182"/>
      <c r="AQ20" s="552"/>
    </row>
    <row r="21" spans="2:43" x14ac:dyDescent="0.25">
      <c r="B21" s="33" t="s">
        <v>419</v>
      </c>
      <c r="C21" s="160" t="str">
        <f>IF(ISBLANK(建卡!D53),建卡!B53,建卡!B53&amp;建卡!D53)</f>
        <v>技艺:</v>
      </c>
      <c r="D21" s="160"/>
      <c r="E21" s="160"/>
      <c r="F21" s="160"/>
      <c r="G21" s="160"/>
      <c r="H21" s="447">
        <f>建卡!M53</f>
        <v>5</v>
      </c>
      <c r="I21" s="447"/>
      <c r="J21" s="447"/>
      <c r="K21" s="447"/>
      <c r="L21" s="179" t="str">
        <f t="shared" si="9"/>
        <v>5% (2/1)</v>
      </c>
      <c r="M21" s="179"/>
      <c r="N21" s="179"/>
      <c r="O21" s="448"/>
      <c r="P21" s="30" t="s">
        <v>546</v>
      </c>
      <c r="Q21" s="160" t="str">
        <f>IF(ISBLANK(建卡!D74),建卡!B74,建卡!B74&amp;建卡!D74)</f>
        <v>恐吓</v>
      </c>
      <c r="R21" s="160"/>
      <c r="S21" s="160"/>
      <c r="T21" s="160"/>
      <c r="U21" s="160"/>
      <c r="V21" s="447">
        <f>建卡!M74</f>
        <v>15</v>
      </c>
      <c r="W21" s="447"/>
      <c r="X21" s="447"/>
      <c r="Y21" s="447"/>
      <c r="Z21" s="179" t="str">
        <f t="shared" si="10"/>
        <v>15% (7/3)</v>
      </c>
      <c r="AA21" s="179"/>
      <c r="AB21" s="179"/>
      <c r="AC21" s="448"/>
      <c r="AD21" s="30" t="s">
        <v>546</v>
      </c>
      <c r="AE21" s="160" t="str">
        <f>IF(ISBLANK(建卡!U63),建卡!S63,建卡!S63&amp;建卡!U63)</f>
        <v>科学:地质学</v>
      </c>
      <c r="AF21" s="160"/>
      <c r="AG21" s="160"/>
      <c r="AH21" s="160"/>
      <c r="AI21" s="160"/>
      <c r="AJ21" s="447">
        <f>建卡!AD63</f>
        <v>1</v>
      </c>
      <c r="AK21" s="447"/>
      <c r="AL21" s="447"/>
      <c r="AM21" s="447"/>
      <c r="AN21" s="179" t="str">
        <f t="shared" si="11"/>
        <v>1% (0/0)</v>
      </c>
      <c r="AO21" s="179"/>
      <c r="AP21" s="179"/>
      <c r="AQ21" s="467"/>
    </row>
    <row r="22" spans="2:43" x14ac:dyDescent="0.25">
      <c r="B22" s="32" t="s">
        <v>419</v>
      </c>
      <c r="C22" s="468" t="str">
        <f>IF(ISBLANK(建卡!D54),建卡!B54,建卡!B54&amp;建卡!D54)</f>
        <v>技艺:</v>
      </c>
      <c r="D22" s="468"/>
      <c r="E22" s="468"/>
      <c r="F22" s="468"/>
      <c r="G22" s="468"/>
      <c r="H22" s="469">
        <f>建卡!M54</f>
        <v>5</v>
      </c>
      <c r="I22" s="469"/>
      <c r="J22" s="469"/>
      <c r="K22" s="469"/>
      <c r="L22" s="182" t="str">
        <f t="shared" si="9"/>
        <v>5% (2/1)</v>
      </c>
      <c r="M22" s="182"/>
      <c r="N22" s="182"/>
      <c r="O22" s="472"/>
      <c r="P22" s="28" t="s">
        <v>546</v>
      </c>
      <c r="Q22" s="468" t="str">
        <f>IF(ISBLANK(建卡!D75),建卡!B75,建卡!B75&amp;建卡!D75)</f>
        <v>跳跃</v>
      </c>
      <c r="R22" s="468"/>
      <c r="S22" s="468"/>
      <c r="T22" s="468"/>
      <c r="U22" s="468"/>
      <c r="V22" s="469">
        <f>建卡!M75</f>
        <v>20</v>
      </c>
      <c r="W22" s="469"/>
      <c r="X22" s="469"/>
      <c r="Y22" s="469"/>
      <c r="Z22" s="182" t="str">
        <f t="shared" si="10"/>
        <v>20% (10/4)</v>
      </c>
      <c r="AA22" s="182"/>
      <c r="AB22" s="182"/>
      <c r="AC22" s="472"/>
      <c r="AD22" s="28" t="s">
        <v>546</v>
      </c>
      <c r="AE22" s="468" t="str">
        <f>IF(ISBLANK(建卡!U64),建卡!S64,建卡!S64&amp;建卡!U64)</f>
        <v>科学:</v>
      </c>
      <c r="AF22" s="468"/>
      <c r="AG22" s="468"/>
      <c r="AH22" s="468"/>
      <c r="AI22" s="468"/>
      <c r="AJ22" s="469">
        <f>建卡!AD64</f>
        <v>1</v>
      </c>
      <c r="AK22" s="469"/>
      <c r="AL22" s="469"/>
      <c r="AM22" s="469"/>
      <c r="AN22" s="182" t="str">
        <f t="shared" si="11"/>
        <v>1% (0/0)</v>
      </c>
      <c r="AO22" s="182"/>
      <c r="AP22" s="182"/>
      <c r="AQ22" s="552"/>
    </row>
    <row r="23" spans="2:43" x14ac:dyDescent="0.25">
      <c r="B23" s="33" t="s">
        <v>419</v>
      </c>
      <c r="C23" s="160" t="str">
        <f>IF(ISBLANK(建卡!D55),建卡!B55,建卡!B55&amp;建卡!D55)</f>
        <v>魅惑</v>
      </c>
      <c r="D23" s="160"/>
      <c r="E23" s="160"/>
      <c r="F23" s="160"/>
      <c r="G23" s="160"/>
      <c r="H23" s="447">
        <f>建卡!M55</f>
        <v>15</v>
      </c>
      <c r="I23" s="447"/>
      <c r="J23" s="447"/>
      <c r="K23" s="447"/>
      <c r="L23" s="179" t="str">
        <f t="shared" si="9"/>
        <v>15% (7/3)</v>
      </c>
      <c r="M23" s="179"/>
      <c r="N23" s="179"/>
      <c r="O23" s="448"/>
      <c r="P23" s="30" t="s">
        <v>750</v>
      </c>
      <c r="Q23" s="160" t="str">
        <f>IF(ISBLANK(建卡!D76),建卡!B76,建卡!B76&amp;建卡!D76)</f>
        <v>语言:</v>
      </c>
      <c r="R23" s="160"/>
      <c r="S23" s="160"/>
      <c r="T23" s="160"/>
      <c r="U23" s="160"/>
      <c r="V23" s="447">
        <f>建卡!M76</f>
        <v>1</v>
      </c>
      <c r="W23" s="447"/>
      <c r="X23" s="447"/>
      <c r="Y23" s="447"/>
      <c r="Z23" s="179" t="str">
        <f t="shared" si="10"/>
        <v>1% (0/0)</v>
      </c>
      <c r="AA23" s="179"/>
      <c r="AB23" s="179"/>
      <c r="AC23" s="448"/>
      <c r="AD23" s="30" t="s">
        <v>546</v>
      </c>
      <c r="AE23" s="160" t="str">
        <f>IF(ISBLANK(建卡!U65),建卡!S65,建卡!S65&amp;建卡!U65)</f>
        <v>科学:</v>
      </c>
      <c r="AF23" s="160"/>
      <c r="AG23" s="160"/>
      <c r="AH23" s="160"/>
      <c r="AI23" s="160"/>
      <c r="AJ23" s="447">
        <f>建卡!AD65</f>
        <v>1</v>
      </c>
      <c r="AK23" s="447"/>
      <c r="AL23" s="447"/>
      <c r="AM23" s="447"/>
      <c r="AN23" s="179" t="str">
        <f t="shared" si="11"/>
        <v>1% (0/0)</v>
      </c>
      <c r="AO23" s="179"/>
      <c r="AP23" s="179"/>
      <c r="AQ23" s="467"/>
    </row>
    <row r="24" spans="2:43" x14ac:dyDescent="0.25">
      <c r="B24" s="32" t="s">
        <v>419</v>
      </c>
      <c r="C24" s="468" t="str">
        <f>IF(ISBLANK(建卡!D56),建卡!B56,建卡!B56&amp;建卡!D56)</f>
        <v>攀爬</v>
      </c>
      <c r="D24" s="468"/>
      <c r="E24" s="468"/>
      <c r="F24" s="468"/>
      <c r="G24" s="468"/>
      <c r="H24" s="469">
        <f>建卡!M56</f>
        <v>20</v>
      </c>
      <c r="I24" s="469"/>
      <c r="J24" s="469"/>
      <c r="K24" s="469"/>
      <c r="L24" s="182" t="str">
        <f t="shared" si="9"/>
        <v>20% (10/4)</v>
      </c>
      <c r="M24" s="182"/>
      <c r="N24" s="182"/>
      <c r="O24" s="472"/>
      <c r="P24" s="28" t="s">
        <v>546</v>
      </c>
      <c r="Q24" s="468" t="str">
        <f>IF(ISBLANK(建卡!D77),建卡!B77,建卡!B77&amp;建卡!D77)</f>
        <v>语言:</v>
      </c>
      <c r="R24" s="468"/>
      <c r="S24" s="468"/>
      <c r="T24" s="468"/>
      <c r="U24" s="468"/>
      <c r="V24" s="469">
        <f>建卡!M77</f>
        <v>1</v>
      </c>
      <c r="W24" s="469"/>
      <c r="X24" s="469"/>
      <c r="Y24" s="469"/>
      <c r="Z24" s="182" t="str">
        <f t="shared" si="10"/>
        <v>1% (0/0)</v>
      </c>
      <c r="AA24" s="182"/>
      <c r="AB24" s="182"/>
      <c r="AC24" s="472"/>
      <c r="AD24" s="28" t="s">
        <v>750</v>
      </c>
      <c r="AE24" s="468" t="str">
        <f>IF(ISBLANK(建卡!U66),建卡!S66,建卡!S66&amp;建卡!U66)</f>
        <v>妙手</v>
      </c>
      <c r="AF24" s="468"/>
      <c r="AG24" s="468"/>
      <c r="AH24" s="468"/>
      <c r="AI24" s="468"/>
      <c r="AJ24" s="469">
        <f>建卡!AD66</f>
        <v>85</v>
      </c>
      <c r="AK24" s="469"/>
      <c r="AL24" s="469"/>
      <c r="AM24" s="469"/>
      <c r="AN24" s="182" t="str">
        <f t="shared" si="11"/>
        <v>85% (42/17)</v>
      </c>
      <c r="AO24" s="182"/>
      <c r="AP24" s="182"/>
      <c r="AQ24" s="552"/>
    </row>
    <row r="25" spans="2:43" x14ac:dyDescent="0.25">
      <c r="B25" s="33" t="s">
        <v>419</v>
      </c>
      <c r="C25" s="160" t="str">
        <f>IF(ISBLANK(建卡!D57),建卡!B57,建卡!B57&amp;建卡!D57)</f>
        <v>计算机使用</v>
      </c>
      <c r="D25" s="160"/>
      <c r="E25" s="160"/>
      <c r="F25" s="160"/>
      <c r="G25" s="160"/>
      <c r="H25" s="447">
        <f>建卡!M57</f>
        <v>5</v>
      </c>
      <c r="I25" s="447"/>
      <c r="J25" s="447"/>
      <c r="K25" s="447"/>
      <c r="L25" s="179" t="str">
        <f t="shared" si="9"/>
        <v>5% (2/1)</v>
      </c>
      <c r="M25" s="179"/>
      <c r="N25" s="179"/>
      <c r="O25" s="448"/>
      <c r="P25" s="30" t="s">
        <v>546</v>
      </c>
      <c r="Q25" s="160" t="str">
        <f>IF(ISBLANK(建卡!D78),建卡!B78,建卡!B78&amp;建卡!D78)</f>
        <v>语言:</v>
      </c>
      <c r="R25" s="160"/>
      <c r="S25" s="160"/>
      <c r="T25" s="160"/>
      <c r="U25" s="160"/>
      <c r="V25" s="447">
        <f>建卡!M78</f>
        <v>1</v>
      </c>
      <c r="W25" s="447"/>
      <c r="X25" s="447"/>
      <c r="Y25" s="447"/>
      <c r="Z25" s="179" t="str">
        <f t="shared" si="10"/>
        <v>1% (0/0)</v>
      </c>
      <c r="AA25" s="179"/>
      <c r="AB25" s="179"/>
      <c r="AC25" s="448"/>
      <c r="AD25" s="30" t="s">
        <v>546</v>
      </c>
      <c r="AE25" s="160" t="str">
        <f>IF(ISBLANK(建卡!U67),建卡!S67,建卡!S67&amp;建卡!U67)</f>
        <v>侦查</v>
      </c>
      <c r="AF25" s="160"/>
      <c r="AG25" s="160"/>
      <c r="AH25" s="160"/>
      <c r="AI25" s="160"/>
      <c r="AJ25" s="447">
        <f>建卡!AD67</f>
        <v>50</v>
      </c>
      <c r="AK25" s="447"/>
      <c r="AL25" s="447"/>
      <c r="AM25" s="447"/>
      <c r="AN25" s="179" t="str">
        <f t="shared" si="11"/>
        <v>50% (25/10)</v>
      </c>
      <c r="AO25" s="179"/>
      <c r="AP25" s="179"/>
      <c r="AQ25" s="467"/>
    </row>
    <row r="26" spans="2:43" x14ac:dyDescent="0.25">
      <c r="B26" s="92"/>
      <c r="C26" s="468" t="s">
        <v>731</v>
      </c>
      <c r="D26" s="468"/>
      <c r="E26" s="468"/>
      <c r="F26" s="468"/>
      <c r="G26" s="468"/>
      <c r="H26" s="469">
        <f>建卡!M58</f>
        <v>20</v>
      </c>
      <c r="I26" s="469"/>
      <c r="J26" s="469"/>
      <c r="K26" s="469"/>
      <c r="L26" s="182" t="str">
        <f t="shared" si="9"/>
        <v>20% (10/4)</v>
      </c>
      <c r="M26" s="182"/>
      <c r="N26" s="182"/>
      <c r="O26" s="472"/>
      <c r="P26" s="28" t="s">
        <v>546</v>
      </c>
      <c r="Q26" s="468" t="str">
        <f>IF(ISBLANK(建卡!D79),建卡!B79,建卡!B79&amp;建卡!D79)</f>
        <v>母语:</v>
      </c>
      <c r="R26" s="468"/>
      <c r="S26" s="468"/>
      <c r="T26" s="468"/>
      <c r="U26" s="468"/>
      <c r="V26" s="469">
        <f>建卡!M79</f>
        <v>75</v>
      </c>
      <c r="W26" s="469"/>
      <c r="X26" s="469"/>
      <c r="Y26" s="469"/>
      <c r="Z26" s="182" t="str">
        <f t="shared" si="10"/>
        <v>75% (37/15)</v>
      </c>
      <c r="AA26" s="182"/>
      <c r="AB26" s="182"/>
      <c r="AC26" s="472"/>
      <c r="AD26" s="28" t="s">
        <v>750</v>
      </c>
      <c r="AE26" s="468" t="str">
        <f>IF(ISBLANK(建卡!U68),建卡!S68,建卡!S68&amp;建卡!U68)</f>
        <v>潜行</v>
      </c>
      <c r="AF26" s="468"/>
      <c r="AG26" s="468"/>
      <c r="AH26" s="468"/>
      <c r="AI26" s="468"/>
      <c r="AJ26" s="469">
        <f>建卡!AD68</f>
        <v>80</v>
      </c>
      <c r="AK26" s="469"/>
      <c r="AL26" s="469"/>
      <c r="AM26" s="469"/>
      <c r="AN26" s="182" t="str">
        <f t="shared" si="11"/>
        <v>80% (40/16)</v>
      </c>
      <c r="AO26" s="182"/>
      <c r="AP26" s="182"/>
      <c r="AQ26" s="552"/>
    </row>
    <row r="27" spans="2:43" x14ac:dyDescent="0.25">
      <c r="B27" s="93"/>
      <c r="C27" s="160" t="str">
        <f>IF(ISBLANK(建卡!D59),建卡!B59,建卡!B59&amp;建卡!D59)</f>
        <v>克苏鲁神话</v>
      </c>
      <c r="D27" s="160"/>
      <c r="E27" s="160"/>
      <c r="F27" s="160"/>
      <c r="G27" s="160"/>
      <c r="H27" s="447">
        <f>建卡!M59</f>
        <v>0</v>
      </c>
      <c r="I27" s="447"/>
      <c r="J27" s="447"/>
      <c r="K27" s="447"/>
      <c r="L27" s="179" t="str">
        <f t="shared" si="9"/>
        <v>0% (0/0)</v>
      </c>
      <c r="M27" s="179"/>
      <c r="N27" s="179"/>
      <c r="O27" s="448"/>
      <c r="P27" s="30" t="s">
        <v>546</v>
      </c>
      <c r="Q27" s="160" t="str">
        <f>IF(ISBLANK(建卡!U48),建卡!S48,建卡!S48&amp;建卡!U48)</f>
        <v>法律</v>
      </c>
      <c r="R27" s="160"/>
      <c r="S27" s="160"/>
      <c r="T27" s="160"/>
      <c r="U27" s="160"/>
      <c r="V27" s="447">
        <f>建卡!AD48</f>
        <v>5</v>
      </c>
      <c r="W27" s="447"/>
      <c r="X27" s="447"/>
      <c r="Y27" s="447"/>
      <c r="Z27" s="179" t="str">
        <f t="shared" ref="Z27" si="12">SUM(V27:Y27)&amp;"% ("&amp;INT(SUM(V27:Y27)/2)&amp;"/"&amp;INT(SUM(V27:Y27)/5)&amp;")"</f>
        <v>5% (2/1)</v>
      </c>
      <c r="AA27" s="179"/>
      <c r="AB27" s="179"/>
      <c r="AC27" s="448"/>
      <c r="AD27" s="30" t="s">
        <v>546</v>
      </c>
      <c r="AE27" s="160" t="str">
        <f>IF(ISBLANK(建卡!U69),建卡!S69,建卡!S69&amp;建卡!U69)</f>
        <v>生存:</v>
      </c>
      <c r="AF27" s="160"/>
      <c r="AG27" s="160"/>
      <c r="AH27" s="160"/>
      <c r="AI27" s="160"/>
      <c r="AJ27" s="447">
        <f>建卡!AD69</f>
        <v>10</v>
      </c>
      <c r="AK27" s="447"/>
      <c r="AL27" s="447"/>
      <c r="AM27" s="447"/>
      <c r="AN27" s="179" t="str">
        <f t="shared" si="11"/>
        <v>10% (5/2)</v>
      </c>
      <c r="AO27" s="179"/>
      <c r="AP27" s="179"/>
      <c r="AQ27" s="467"/>
    </row>
    <row r="28" spans="2:43" x14ac:dyDescent="0.25">
      <c r="B28" s="32" t="s">
        <v>750</v>
      </c>
      <c r="C28" s="468" t="str">
        <f>IF(ISBLANK(建卡!D60),建卡!B60,建卡!B60&amp;建卡!D60)</f>
        <v>乔装</v>
      </c>
      <c r="D28" s="468"/>
      <c r="E28" s="468"/>
      <c r="F28" s="468"/>
      <c r="G28" s="468"/>
      <c r="H28" s="469">
        <f>建卡!M60</f>
        <v>50</v>
      </c>
      <c r="I28" s="469"/>
      <c r="J28" s="469"/>
      <c r="K28" s="469"/>
      <c r="L28" s="182" t="str">
        <f t="shared" si="9"/>
        <v>50% (25/10)</v>
      </c>
      <c r="M28" s="182"/>
      <c r="N28" s="182"/>
      <c r="O28" s="472"/>
      <c r="P28" s="28" t="s">
        <v>546</v>
      </c>
      <c r="Q28" s="468" t="s">
        <v>732</v>
      </c>
      <c r="R28" s="468"/>
      <c r="S28" s="468"/>
      <c r="T28" s="468"/>
      <c r="U28" s="468"/>
      <c r="V28" s="469">
        <f>建卡!AD49</f>
        <v>20</v>
      </c>
      <c r="W28" s="469"/>
      <c r="X28" s="469"/>
      <c r="Y28" s="469"/>
      <c r="Z28" s="182" t="str">
        <f t="shared" ref="Z28:Z36" si="13">SUM(V28:Y28)&amp;"% ("&amp;INT(SUM(V28:Y28)/2)&amp;"/"&amp;INT(SUM(V28:Y28)/5)&amp;")"</f>
        <v>20% (10/4)</v>
      </c>
      <c r="AA28" s="182"/>
      <c r="AB28" s="182"/>
      <c r="AC28" s="472"/>
      <c r="AD28" s="28" t="s">
        <v>546</v>
      </c>
      <c r="AE28" s="468" t="str">
        <f>IF(ISBLANK(建卡!U70),建卡!S70,建卡!S70&amp;建卡!U70)</f>
        <v>游泳</v>
      </c>
      <c r="AF28" s="468"/>
      <c r="AG28" s="468"/>
      <c r="AH28" s="468"/>
      <c r="AI28" s="468"/>
      <c r="AJ28" s="469">
        <f>建卡!AD70</f>
        <v>20</v>
      </c>
      <c r="AK28" s="469"/>
      <c r="AL28" s="469"/>
      <c r="AM28" s="469"/>
      <c r="AN28" s="182" t="str">
        <f t="shared" si="11"/>
        <v>20% (10/4)</v>
      </c>
      <c r="AO28" s="182"/>
      <c r="AP28" s="182"/>
      <c r="AQ28" s="552"/>
    </row>
    <row r="29" spans="2:43" x14ac:dyDescent="0.25">
      <c r="B29" s="33" t="s">
        <v>419</v>
      </c>
      <c r="C29" s="160" t="str">
        <f>IF(ISBLANK(建卡!D61),建卡!B61,建卡!B61&amp;建卡!D61)</f>
        <v>闪避</v>
      </c>
      <c r="D29" s="160"/>
      <c r="E29" s="160"/>
      <c r="F29" s="160"/>
      <c r="G29" s="160"/>
      <c r="H29" s="447">
        <f>建卡!M61</f>
        <v>75</v>
      </c>
      <c r="I29" s="447"/>
      <c r="J29" s="447"/>
      <c r="K29" s="447"/>
      <c r="L29" s="179" t="str">
        <f t="shared" si="9"/>
        <v>75% (37/15)</v>
      </c>
      <c r="M29" s="179"/>
      <c r="N29" s="179"/>
      <c r="O29" s="448"/>
      <c r="P29" s="30" t="s">
        <v>750</v>
      </c>
      <c r="Q29" s="160" t="str">
        <f>IF(ISBLANK(建卡!U50),建卡!S50,建卡!S50&amp;建卡!U50)</f>
        <v>聆听</v>
      </c>
      <c r="R29" s="160"/>
      <c r="S29" s="160"/>
      <c r="T29" s="160"/>
      <c r="U29" s="160"/>
      <c r="V29" s="447">
        <f>建卡!AD50</f>
        <v>70</v>
      </c>
      <c r="W29" s="447"/>
      <c r="X29" s="447"/>
      <c r="Y29" s="447"/>
      <c r="Z29" s="179" t="str">
        <f t="shared" si="13"/>
        <v>70% (35/14)</v>
      </c>
      <c r="AA29" s="179"/>
      <c r="AB29" s="179"/>
      <c r="AC29" s="448"/>
      <c r="AD29" s="30" t="s">
        <v>546</v>
      </c>
      <c r="AE29" s="160" t="str">
        <f>IF(ISBLANK(建卡!U71),建卡!S71,建卡!S71&amp;建卡!U71)</f>
        <v>投掷</v>
      </c>
      <c r="AF29" s="160"/>
      <c r="AG29" s="160"/>
      <c r="AH29" s="160"/>
      <c r="AI29" s="160"/>
      <c r="AJ29" s="447">
        <f>建卡!AD71</f>
        <v>20</v>
      </c>
      <c r="AK29" s="447"/>
      <c r="AL29" s="447"/>
      <c r="AM29" s="447"/>
      <c r="AN29" s="179" t="str">
        <f t="shared" si="11"/>
        <v>20% (10/4)</v>
      </c>
      <c r="AO29" s="179"/>
      <c r="AP29" s="179"/>
      <c r="AQ29" s="467"/>
    </row>
    <row r="30" spans="2:43" x14ac:dyDescent="0.25">
      <c r="B30" s="32" t="s">
        <v>419</v>
      </c>
      <c r="C30" s="468" t="str">
        <f>IF(ISBLANK(建卡!D62),建卡!B62,建卡!B62&amp;建卡!D62)</f>
        <v>汽车驾驶</v>
      </c>
      <c r="D30" s="468"/>
      <c r="E30" s="468"/>
      <c r="F30" s="468"/>
      <c r="G30" s="468"/>
      <c r="H30" s="469">
        <f>建卡!M62</f>
        <v>20</v>
      </c>
      <c r="I30" s="469"/>
      <c r="J30" s="469"/>
      <c r="K30" s="469"/>
      <c r="L30" s="182" t="str">
        <f t="shared" si="9"/>
        <v>20% (10/4)</v>
      </c>
      <c r="M30" s="182"/>
      <c r="N30" s="182"/>
      <c r="O30" s="472"/>
      <c r="P30" s="28" t="s">
        <v>546</v>
      </c>
      <c r="Q30" s="468" t="str">
        <f>IF(ISBLANK(建卡!U51),建卡!S51,建卡!S51&amp;建卡!U51)</f>
        <v>锁匠</v>
      </c>
      <c r="R30" s="468"/>
      <c r="S30" s="468"/>
      <c r="T30" s="468"/>
      <c r="U30" s="468"/>
      <c r="V30" s="469">
        <f>建卡!AD51</f>
        <v>1</v>
      </c>
      <c r="W30" s="469"/>
      <c r="X30" s="469"/>
      <c r="Y30" s="469"/>
      <c r="Z30" s="182" t="str">
        <f t="shared" si="13"/>
        <v>1% (0/0)</v>
      </c>
      <c r="AA30" s="182"/>
      <c r="AB30" s="182"/>
      <c r="AC30" s="472"/>
      <c r="AD30" s="28" t="s">
        <v>546</v>
      </c>
      <c r="AE30" s="468" t="str">
        <f>IF(ISBLANK(建卡!U72),建卡!S72,建卡!S72&amp;建卡!U72)</f>
        <v>追踪</v>
      </c>
      <c r="AF30" s="468"/>
      <c r="AG30" s="468"/>
      <c r="AH30" s="468"/>
      <c r="AI30" s="468"/>
      <c r="AJ30" s="469">
        <f>建卡!AD72</f>
        <v>40</v>
      </c>
      <c r="AK30" s="469"/>
      <c r="AL30" s="469"/>
      <c r="AM30" s="469"/>
      <c r="AN30" s="182" t="str">
        <f t="shared" si="11"/>
        <v>40% (20/8)</v>
      </c>
      <c r="AO30" s="182"/>
      <c r="AP30" s="182"/>
      <c r="AQ30" s="552"/>
    </row>
    <row r="31" spans="2:43" x14ac:dyDescent="0.25">
      <c r="B31" s="33" t="s">
        <v>419</v>
      </c>
      <c r="C31" s="160" t="str">
        <f>IF(ISBLANK(建卡!D63),建卡!B63,建卡!B63&amp;建卡!D63)</f>
        <v>电气维修</v>
      </c>
      <c r="D31" s="160"/>
      <c r="E31" s="160"/>
      <c r="F31" s="160"/>
      <c r="G31" s="160"/>
      <c r="H31" s="447">
        <f>建卡!M63</f>
        <v>10</v>
      </c>
      <c r="I31" s="447"/>
      <c r="J31" s="447"/>
      <c r="K31" s="447"/>
      <c r="L31" s="179" t="str">
        <f t="shared" si="9"/>
        <v>10% (5/2)</v>
      </c>
      <c r="M31" s="179"/>
      <c r="N31" s="179"/>
      <c r="O31" s="448"/>
      <c r="P31" s="30" t="s">
        <v>546</v>
      </c>
      <c r="Q31" s="160" t="str">
        <f>IF(ISBLANK(建卡!U52),建卡!S52,建卡!S52&amp;建卡!U52)</f>
        <v>机械维修</v>
      </c>
      <c r="R31" s="160"/>
      <c r="S31" s="160"/>
      <c r="T31" s="160"/>
      <c r="U31" s="160"/>
      <c r="V31" s="447">
        <f>建卡!AD52</f>
        <v>10</v>
      </c>
      <c r="W31" s="447"/>
      <c r="X31" s="447"/>
      <c r="Y31" s="447"/>
      <c r="Z31" s="179" t="str">
        <f t="shared" si="13"/>
        <v>10% (5/2)</v>
      </c>
      <c r="AA31" s="179"/>
      <c r="AB31" s="179"/>
      <c r="AC31" s="448"/>
      <c r="AD31" s="30" t="s">
        <v>546</v>
      </c>
      <c r="AE31" s="160" t="str">
        <f>IF(ISBLANK(建卡!U73),建卡!S73,建卡!S73&amp;建卡!U73)</f>
        <v>潜水</v>
      </c>
      <c r="AF31" s="160"/>
      <c r="AG31" s="160"/>
      <c r="AH31" s="160"/>
      <c r="AI31" s="160"/>
      <c r="AJ31" s="447">
        <f>建卡!AD73</f>
        <v>1</v>
      </c>
      <c r="AK31" s="447"/>
      <c r="AL31" s="447"/>
      <c r="AM31" s="447"/>
      <c r="AN31" s="179" t="str">
        <f t="shared" si="11"/>
        <v>1% (0/0)</v>
      </c>
      <c r="AO31" s="179"/>
      <c r="AP31" s="179"/>
      <c r="AQ31" s="467"/>
    </row>
    <row r="32" spans="2:43" x14ac:dyDescent="0.25">
      <c r="B32" s="32" t="s">
        <v>419</v>
      </c>
      <c r="C32" s="468" t="str">
        <f>IF(ISBLANK(建卡!D64),建卡!B64,建卡!B64&amp;建卡!D64)</f>
        <v>电子学</v>
      </c>
      <c r="D32" s="468"/>
      <c r="E32" s="468"/>
      <c r="F32" s="468"/>
      <c r="G32" s="468"/>
      <c r="H32" s="469">
        <f>建卡!M64</f>
        <v>1</v>
      </c>
      <c r="I32" s="469"/>
      <c r="J32" s="469"/>
      <c r="K32" s="469"/>
      <c r="L32" s="182" t="str">
        <f t="shared" si="9"/>
        <v>1% (0/0)</v>
      </c>
      <c r="M32" s="182"/>
      <c r="N32" s="182"/>
      <c r="O32" s="472"/>
      <c r="P32" s="28" t="s">
        <v>546</v>
      </c>
      <c r="Q32" s="468" t="str">
        <f>IF(ISBLANK(建卡!U53),建卡!S53,建卡!S53&amp;建卡!U53)</f>
        <v>医学</v>
      </c>
      <c r="R32" s="468"/>
      <c r="S32" s="468"/>
      <c r="T32" s="468"/>
      <c r="U32" s="468"/>
      <c r="V32" s="469">
        <f>建卡!AD53</f>
        <v>1</v>
      </c>
      <c r="W32" s="469"/>
      <c r="X32" s="469"/>
      <c r="Y32" s="469"/>
      <c r="Z32" s="182" t="str">
        <f t="shared" si="13"/>
        <v>1% (0/0)</v>
      </c>
      <c r="AA32" s="182"/>
      <c r="AB32" s="182"/>
      <c r="AC32" s="472"/>
      <c r="AD32" s="28" t="s">
        <v>546</v>
      </c>
      <c r="AE32" s="468" t="str">
        <f>IF(ISBLANK(建卡!S74),"",建卡!S74)</f>
        <v>技艺：种植</v>
      </c>
      <c r="AF32" s="468"/>
      <c r="AG32" s="468"/>
      <c r="AH32" s="468"/>
      <c r="AI32" s="468"/>
      <c r="AJ32" s="469">
        <f>建卡!AD74</f>
        <v>20</v>
      </c>
      <c r="AK32" s="469"/>
      <c r="AL32" s="469"/>
      <c r="AM32" s="469"/>
      <c r="AN32" s="182" t="str">
        <f t="shared" si="11"/>
        <v>20% (10/4)</v>
      </c>
      <c r="AO32" s="182"/>
      <c r="AP32" s="182"/>
      <c r="AQ32" s="552"/>
    </row>
    <row r="33" spans="2:43" x14ac:dyDescent="0.25">
      <c r="B33" s="33" t="s">
        <v>750</v>
      </c>
      <c r="C33" s="160" t="str">
        <f>IF(ISBLANK(建卡!D65),建卡!B65,建卡!B65&amp;建卡!D65)</f>
        <v>话术</v>
      </c>
      <c r="D33" s="160"/>
      <c r="E33" s="160"/>
      <c r="F33" s="160"/>
      <c r="G33" s="160"/>
      <c r="H33" s="447">
        <f>建卡!M65</f>
        <v>60</v>
      </c>
      <c r="I33" s="447"/>
      <c r="J33" s="447"/>
      <c r="K33" s="447"/>
      <c r="L33" s="179" t="str">
        <f t="shared" si="9"/>
        <v>60% (30/12)</v>
      </c>
      <c r="M33" s="179"/>
      <c r="N33" s="179"/>
      <c r="O33" s="448"/>
      <c r="P33" s="30" t="s">
        <v>546</v>
      </c>
      <c r="Q33" s="160" t="str">
        <f>IF(ISBLANK(建卡!U54),建卡!S54,建卡!S54&amp;建卡!U54)</f>
        <v>博物学</v>
      </c>
      <c r="R33" s="160"/>
      <c r="S33" s="160"/>
      <c r="T33" s="160"/>
      <c r="U33" s="160"/>
      <c r="V33" s="447">
        <f>建卡!AD54</f>
        <v>10</v>
      </c>
      <c r="W33" s="447"/>
      <c r="X33" s="447"/>
      <c r="Y33" s="447"/>
      <c r="Z33" s="179" t="str">
        <f t="shared" si="13"/>
        <v>10% (5/2)</v>
      </c>
      <c r="AA33" s="179"/>
      <c r="AB33" s="179"/>
      <c r="AC33" s="448"/>
      <c r="AD33" s="30" t="s">
        <v>546</v>
      </c>
      <c r="AE33" s="160" t="str">
        <f>IF(ISBLANK(建卡!S75),"",建卡!S75)</f>
        <v/>
      </c>
      <c r="AF33" s="160"/>
      <c r="AG33" s="160"/>
      <c r="AH33" s="160"/>
      <c r="AI33" s="160"/>
      <c r="AJ33" s="447">
        <f>建卡!AD75</f>
        <v>0</v>
      </c>
      <c r="AK33" s="447"/>
      <c r="AL33" s="447"/>
      <c r="AM33" s="447"/>
      <c r="AN33" s="179" t="str">
        <f t="shared" si="11"/>
        <v>0% (0/0)</v>
      </c>
      <c r="AO33" s="179"/>
      <c r="AP33" s="179"/>
      <c r="AQ33" s="467"/>
    </row>
    <row r="34" spans="2:43" x14ac:dyDescent="0.25">
      <c r="B34" s="32" t="s">
        <v>419</v>
      </c>
      <c r="C34" s="468" t="str">
        <f>IF(ISBLANK(建卡!D66),建卡!B66,建卡!B66&amp;建卡!D66)</f>
        <v>格斗:斗殴</v>
      </c>
      <c r="D34" s="468"/>
      <c r="E34" s="468"/>
      <c r="F34" s="468"/>
      <c r="G34" s="468"/>
      <c r="H34" s="469">
        <f>建卡!M66</f>
        <v>25</v>
      </c>
      <c r="I34" s="469"/>
      <c r="J34" s="469"/>
      <c r="K34" s="469"/>
      <c r="L34" s="182" t="str">
        <f t="shared" si="9"/>
        <v>25% (12/5)</v>
      </c>
      <c r="M34" s="182"/>
      <c r="N34" s="182"/>
      <c r="O34" s="472"/>
      <c r="P34" s="28" t="s">
        <v>546</v>
      </c>
      <c r="Q34" s="468" t="str">
        <f>IF(ISBLANK(建卡!U55),建卡!S55,建卡!S55&amp;建卡!U55)</f>
        <v>领航</v>
      </c>
      <c r="R34" s="468"/>
      <c r="S34" s="468"/>
      <c r="T34" s="468"/>
      <c r="U34" s="468"/>
      <c r="V34" s="469">
        <f>建卡!AD55</f>
        <v>10</v>
      </c>
      <c r="W34" s="469"/>
      <c r="X34" s="469"/>
      <c r="Y34" s="469"/>
      <c r="Z34" s="182" t="str">
        <f t="shared" si="13"/>
        <v>10% (5/2)</v>
      </c>
      <c r="AA34" s="182"/>
      <c r="AB34" s="182"/>
      <c r="AC34" s="472"/>
      <c r="AD34" s="28" t="s">
        <v>546</v>
      </c>
      <c r="AE34" s="468" t="str">
        <f>IF(ISBLANK(建卡!S76),"",建卡!S76)</f>
        <v/>
      </c>
      <c r="AF34" s="468"/>
      <c r="AG34" s="468"/>
      <c r="AH34" s="468"/>
      <c r="AI34" s="468"/>
      <c r="AJ34" s="469">
        <f>建卡!AD76</f>
        <v>0</v>
      </c>
      <c r="AK34" s="469"/>
      <c r="AL34" s="469"/>
      <c r="AM34" s="469"/>
      <c r="AN34" s="182" t="str">
        <f t="shared" si="11"/>
        <v>0% (0/0)</v>
      </c>
      <c r="AO34" s="182"/>
      <c r="AP34" s="182"/>
      <c r="AQ34" s="552"/>
    </row>
    <row r="35" spans="2:43" x14ac:dyDescent="0.25">
      <c r="B35" s="33" t="s">
        <v>419</v>
      </c>
      <c r="C35" s="160" t="str">
        <f>IF(ISBLANK(建卡!D67),建卡!B67,建卡!B67&amp;建卡!D67)</f>
        <v>格斗:剑</v>
      </c>
      <c r="D35" s="160"/>
      <c r="E35" s="160"/>
      <c r="F35" s="160"/>
      <c r="G35" s="160"/>
      <c r="H35" s="447">
        <f>建卡!M67</f>
        <v>20</v>
      </c>
      <c r="I35" s="447"/>
      <c r="J35" s="447"/>
      <c r="K35" s="447"/>
      <c r="L35" s="179" t="str">
        <f t="shared" si="9"/>
        <v>20% (10/4)</v>
      </c>
      <c r="M35" s="179"/>
      <c r="N35" s="179"/>
      <c r="O35" s="448"/>
      <c r="P35" s="30" t="s">
        <v>546</v>
      </c>
      <c r="Q35" s="160" t="str">
        <f>IF(ISBLANK(建卡!U56),建卡!S56,建卡!S56&amp;建卡!U56)</f>
        <v>神秘学</v>
      </c>
      <c r="R35" s="160"/>
      <c r="S35" s="160"/>
      <c r="T35" s="160"/>
      <c r="U35" s="160"/>
      <c r="V35" s="447">
        <f>建卡!AD56</f>
        <v>5</v>
      </c>
      <c r="W35" s="447"/>
      <c r="X35" s="447"/>
      <c r="Y35" s="447"/>
      <c r="Z35" s="179" t="str">
        <f t="shared" si="13"/>
        <v>5% (2/1)</v>
      </c>
      <c r="AA35" s="179"/>
      <c r="AB35" s="179"/>
      <c r="AC35" s="448"/>
      <c r="AD35" s="30" t="s">
        <v>546</v>
      </c>
      <c r="AE35" s="160" t="str">
        <f>IF(ISBLANK(建卡!S77),"",建卡!S77)</f>
        <v/>
      </c>
      <c r="AF35" s="160"/>
      <c r="AG35" s="160"/>
      <c r="AH35" s="160"/>
      <c r="AI35" s="160"/>
      <c r="AJ35" s="447">
        <f>建卡!AD77</f>
        <v>0</v>
      </c>
      <c r="AK35" s="447"/>
      <c r="AL35" s="447"/>
      <c r="AM35" s="447"/>
      <c r="AN35" s="179" t="str">
        <f t="shared" si="11"/>
        <v>0% (0/0)</v>
      </c>
      <c r="AO35" s="179"/>
      <c r="AP35" s="179"/>
      <c r="AQ35" s="467"/>
    </row>
    <row r="36" spans="2:43" ht="15.6" thickBot="1" x14ac:dyDescent="0.3">
      <c r="B36" s="27" t="s">
        <v>419</v>
      </c>
      <c r="C36" s="595" t="str">
        <f>IF(ISBLANK(建卡!D68),建卡!B68,建卡!B68&amp;建卡!D68)</f>
        <v>格斗:</v>
      </c>
      <c r="D36" s="595"/>
      <c r="E36" s="595"/>
      <c r="F36" s="595"/>
      <c r="G36" s="595"/>
      <c r="H36" s="587">
        <f>建卡!M68</f>
        <v>0</v>
      </c>
      <c r="I36" s="587"/>
      <c r="J36" s="587"/>
      <c r="K36" s="587"/>
      <c r="L36" s="588" t="str">
        <f t="shared" si="9"/>
        <v>0% (0/0)</v>
      </c>
      <c r="M36" s="588"/>
      <c r="N36" s="588"/>
      <c r="O36" s="589"/>
      <c r="P36" s="29" t="s">
        <v>546</v>
      </c>
      <c r="Q36" s="595" t="str">
        <f>IF(ISBLANK(建卡!U57),建卡!S57,建卡!S57&amp;建卡!U57)</f>
        <v>操作重型机械</v>
      </c>
      <c r="R36" s="595"/>
      <c r="S36" s="595"/>
      <c r="T36" s="595"/>
      <c r="U36" s="595"/>
      <c r="V36" s="587">
        <f>建卡!AD57</f>
        <v>1</v>
      </c>
      <c r="W36" s="587"/>
      <c r="X36" s="587"/>
      <c r="Y36" s="587"/>
      <c r="Z36" s="588" t="str">
        <f t="shared" si="13"/>
        <v>1% (0/0)</v>
      </c>
      <c r="AA36" s="588"/>
      <c r="AB36" s="588"/>
      <c r="AC36" s="589"/>
      <c r="AD36" s="29" t="s">
        <v>546</v>
      </c>
      <c r="AE36" s="595" t="str">
        <f>IF(ISBLANK(建卡!S78),"",建卡!S78)</f>
        <v/>
      </c>
      <c r="AF36" s="595"/>
      <c r="AG36" s="595"/>
      <c r="AH36" s="595"/>
      <c r="AI36" s="595"/>
      <c r="AJ36" s="587">
        <f>建卡!AD78</f>
        <v>0</v>
      </c>
      <c r="AK36" s="587"/>
      <c r="AL36" s="587"/>
      <c r="AM36" s="587"/>
      <c r="AN36" s="588" t="str">
        <f t="shared" si="11"/>
        <v>0% (0/0)</v>
      </c>
      <c r="AO36" s="588"/>
      <c r="AP36" s="588"/>
      <c r="AQ36" s="596"/>
    </row>
    <row r="37" spans="2:43" ht="15.6" thickBot="1" x14ac:dyDescent="0.3">
      <c r="B37" s="51"/>
      <c r="P37" s="52"/>
      <c r="AD37" s="53"/>
      <c r="AE37" s="53"/>
      <c r="AF37" s="53"/>
      <c r="AG37" s="53"/>
      <c r="AH37" s="53"/>
      <c r="AI37" s="53"/>
      <c r="AJ37" s="53"/>
      <c r="AK37" s="53"/>
      <c r="AL37" s="53"/>
      <c r="AM37" s="54"/>
    </row>
    <row r="38" spans="2:43" x14ac:dyDescent="0.25">
      <c r="B38" s="243" t="s">
        <v>13</v>
      </c>
      <c r="C38" s="244"/>
      <c r="D38" s="244"/>
      <c r="E38" s="244"/>
      <c r="F38" s="244"/>
      <c r="G38" s="244"/>
      <c r="H38" s="244"/>
      <c r="I38" s="244"/>
      <c r="J38" s="244"/>
      <c r="K38" s="244"/>
      <c r="L38" s="244"/>
      <c r="M38" s="244"/>
      <c r="N38" s="244"/>
      <c r="O38" s="244"/>
      <c r="P38" s="244"/>
      <c r="Q38" s="244"/>
      <c r="R38" s="244"/>
      <c r="S38" s="244"/>
      <c r="T38" s="244"/>
      <c r="U38" s="244"/>
      <c r="V38" s="244"/>
      <c r="W38" s="244"/>
      <c r="X38" s="244"/>
      <c r="Y38" s="244"/>
      <c r="Z38" s="244"/>
      <c r="AA38" s="244"/>
      <c r="AB38" s="244"/>
      <c r="AC38" s="244"/>
      <c r="AD38" s="244"/>
      <c r="AE38" s="244"/>
      <c r="AF38" s="244"/>
      <c r="AG38" s="244"/>
      <c r="AH38" s="245"/>
      <c r="AJ38" s="329" t="s">
        <v>15</v>
      </c>
      <c r="AK38" s="330"/>
      <c r="AL38" s="330"/>
      <c r="AM38" s="330"/>
      <c r="AN38" s="330"/>
      <c r="AO38" s="330"/>
      <c r="AP38" s="330"/>
      <c r="AQ38" s="331"/>
    </row>
    <row r="39" spans="2:43" x14ac:dyDescent="0.25">
      <c r="B39" s="394" t="s">
        <v>13</v>
      </c>
      <c r="C39" s="359"/>
      <c r="D39" s="359"/>
      <c r="E39" s="359"/>
      <c r="F39" s="359"/>
      <c r="G39" s="359"/>
      <c r="H39" s="359"/>
      <c r="I39" s="359"/>
      <c r="J39" s="395"/>
      <c r="K39" s="358" t="s">
        <v>8</v>
      </c>
      <c r="L39" s="359"/>
      <c r="M39" s="359"/>
      <c r="N39" s="359"/>
      <c r="O39" s="359"/>
      <c r="P39" s="395"/>
      <c r="Q39" s="55" t="s">
        <v>417</v>
      </c>
      <c r="R39" s="359" t="s">
        <v>333</v>
      </c>
      <c r="S39" s="359"/>
      <c r="T39" s="359"/>
      <c r="U39" s="359"/>
      <c r="V39" s="359"/>
      <c r="W39" s="395"/>
      <c r="X39" s="464" t="s">
        <v>332</v>
      </c>
      <c r="Y39" s="465"/>
      <c r="Z39" s="465"/>
      <c r="AA39" s="466"/>
      <c r="AB39" s="464" t="s">
        <v>331</v>
      </c>
      <c r="AC39" s="465"/>
      <c r="AD39" s="466"/>
      <c r="AE39" s="358" t="s">
        <v>413</v>
      </c>
      <c r="AF39" s="395"/>
      <c r="AG39" s="358" t="s">
        <v>14</v>
      </c>
      <c r="AH39" s="360"/>
      <c r="AJ39" s="576" t="s">
        <v>348</v>
      </c>
      <c r="AK39" s="577"/>
      <c r="AL39" s="577"/>
      <c r="AM39" s="577"/>
      <c r="AN39" s="574">
        <f>建卡!R34</f>
        <v>0</v>
      </c>
      <c r="AO39" s="574"/>
      <c r="AP39" s="574"/>
      <c r="AQ39" s="575"/>
    </row>
    <row r="40" spans="2:43" x14ac:dyDescent="0.25">
      <c r="B40" s="543" t="s">
        <v>448</v>
      </c>
      <c r="C40" s="400"/>
      <c r="D40" s="400"/>
      <c r="E40" s="400"/>
      <c r="F40" s="400"/>
      <c r="G40" s="400"/>
      <c r="H40" s="400"/>
      <c r="I40" s="400"/>
      <c r="J40" s="401"/>
      <c r="K40" s="445">
        <f>SUM(H34:K34)</f>
        <v>25</v>
      </c>
      <c r="L40" s="446"/>
      <c r="M40" s="445">
        <f>INT(K40/2)</f>
        <v>12</v>
      </c>
      <c r="N40" s="446"/>
      <c r="O40" s="445">
        <f>INT(K40/5)</f>
        <v>5</v>
      </c>
      <c r="P40" s="446"/>
      <c r="Q40" s="56" t="s">
        <v>457</v>
      </c>
      <c r="R40" s="424" t="s">
        <v>342</v>
      </c>
      <c r="S40" s="424"/>
      <c r="T40" s="424"/>
      <c r="U40" s="424"/>
      <c r="V40" s="424"/>
      <c r="W40" s="425"/>
      <c r="X40" s="544" t="s">
        <v>33</v>
      </c>
      <c r="Y40" s="545"/>
      <c r="Z40" s="545"/>
      <c r="AA40" s="546"/>
      <c r="AB40" s="544">
        <v>1</v>
      </c>
      <c r="AC40" s="545"/>
      <c r="AD40" s="546"/>
      <c r="AE40" s="424" t="s">
        <v>33</v>
      </c>
      <c r="AF40" s="425"/>
      <c r="AG40" s="571" t="s">
        <v>33</v>
      </c>
      <c r="AH40" s="572"/>
      <c r="AJ40" s="576"/>
      <c r="AK40" s="577"/>
      <c r="AL40" s="577"/>
      <c r="AM40" s="577"/>
      <c r="AN40" s="574"/>
      <c r="AO40" s="574"/>
      <c r="AP40" s="574"/>
      <c r="AQ40" s="575"/>
    </row>
    <row r="41" spans="2:43" x14ac:dyDescent="0.25">
      <c r="B41" s="438" t="s">
        <v>733</v>
      </c>
      <c r="C41" s="402"/>
      <c r="D41" s="402"/>
      <c r="E41" s="402"/>
      <c r="F41" s="402"/>
      <c r="G41" s="402"/>
      <c r="H41" s="402"/>
      <c r="I41" s="402"/>
      <c r="J41" s="403"/>
      <c r="K41" s="439">
        <v>25</v>
      </c>
      <c r="L41" s="440"/>
      <c r="M41" s="441">
        <f t="shared" ref="M41:M44" si="14">INT(K41/2)</f>
        <v>12</v>
      </c>
      <c r="N41" s="442"/>
      <c r="O41" s="441">
        <f t="shared" ref="O41:O44" si="15">INT(K41/5)</f>
        <v>5</v>
      </c>
      <c r="P41" s="442"/>
      <c r="Q41" s="100" t="s">
        <v>457</v>
      </c>
      <c r="R41" s="402" t="s">
        <v>734</v>
      </c>
      <c r="S41" s="402"/>
      <c r="T41" s="402"/>
      <c r="U41" s="402"/>
      <c r="V41" s="402"/>
      <c r="W41" s="403"/>
      <c r="X41" s="407"/>
      <c r="Y41" s="402"/>
      <c r="Z41" s="402"/>
      <c r="AA41" s="403"/>
      <c r="AB41" s="407" t="s">
        <v>735</v>
      </c>
      <c r="AC41" s="402"/>
      <c r="AD41" s="403"/>
      <c r="AE41" s="402"/>
      <c r="AF41" s="403"/>
      <c r="AG41" s="407"/>
      <c r="AH41" s="573"/>
      <c r="AJ41" s="225" t="s">
        <v>349</v>
      </c>
      <c r="AK41" s="226"/>
      <c r="AL41" s="226"/>
      <c r="AM41" s="226"/>
      <c r="AN41" s="291">
        <f>建卡!U34</f>
        <v>0</v>
      </c>
      <c r="AO41" s="291"/>
      <c r="AP41" s="291"/>
      <c r="AQ41" s="580"/>
    </row>
    <row r="42" spans="2:43" x14ac:dyDescent="0.25">
      <c r="B42" s="543"/>
      <c r="C42" s="400"/>
      <c r="D42" s="400"/>
      <c r="E42" s="400"/>
      <c r="F42" s="400"/>
      <c r="G42" s="400"/>
      <c r="H42" s="400"/>
      <c r="I42" s="400"/>
      <c r="J42" s="401"/>
      <c r="K42" s="547"/>
      <c r="L42" s="548"/>
      <c r="M42" s="445">
        <f t="shared" si="14"/>
        <v>0</v>
      </c>
      <c r="N42" s="446"/>
      <c r="O42" s="445">
        <f t="shared" si="15"/>
        <v>0</v>
      </c>
      <c r="P42" s="446"/>
      <c r="Q42" s="59"/>
      <c r="R42" s="400"/>
      <c r="S42" s="400"/>
      <c r="T42" s="400"/>
      <c r="U42" s="400"/>
      <c r="V42" s="400"/>
      <c r="W42" s="401"/>
      <c r="X42" s="397"/>
      <c r="Y42" s="398"/>
      <c r="Z42" s="398"/>
      <c r="AA42" s="399"/>
      <c r="AB42" s="397"/>
      <c r="AC42" s="398"/>
      <c r="AD42" s="399"/>
      <c r="AE42" s="400"/>
      <c r="AF42" s="401"/>
      <c r="AG42" s="585"/>
      <c r="AH42" s="586"/>
      <c r="AJ42" s="225"/>
      <c r="AK42" s="226"/>
      <c r="AL42" s="226"/>
      <c r="AM42" s="226"/>
      <c r="AN42" s="291"/>
      <c r="AO42" s="291"/>
      <c r="AP42" s="291"/>
      <c r="AQ42" s="580"/>
    </row>
    <row r="43" spans="2:43" x14ac:dyDescent="0.25">
      <c r="B43" s="438"/>
      <c r="C43" s="402"/>
      <c r="D43" s="402"/>
      <c r="E43" s="402"/>
      <c r="F43" s="402"/>
      <c r="G43" s="402"/>
      <c r="H43" s="402"/>
      <c r="I43" s="402"/>
      <c r="J43" s="403"/>
      <c r="K43" s="439"/>
      <c r="L43" s="440"/>
      <c r="M43" s="441">
        <f t="shared" si="14"/>
        <v>0</v>
      </c>
      <c r="N43" s="442"/>
      <c r="O43" s="441">
        <f t="shared" si="15"/>
        <v>0</v>
      </c>
      <c r="P43" s="442"/>
      <c r="Q43" s="99"/>
      <c r="R43" s="402"/>
      <c r="S43" s="402"/>
      <c r="T43" s="402"/>
      <c r="U43" s="402"/>
      <c r="V43" s="402"/>
      <c r="W43" s="403"/>
      <c r="X43" s="407"/>
      <c r="Y43" s="402"/>
      <c r="Z43" s="402"/>
      <c r="AA43" s="403"/>
      <c r="AB43" s="407"/>
      <c r="AC43" s="402"/>
      <c r="AD43" s="403"/>
      <c r="AE43" s="402"/>
      <c r="AF43" s="403"/>
      <c r="AG43" s="407"/>
      <c r="AH43" s="573"/>
      <c r="AJ43" s="576" t="s">
        <v>414</v>
      </c>
      <c r="AK43" s="577"/>
      <c r="AL43" s="577"/>
      <c r="AM43" s="577"/>
      <c r="AN43" s="581">
        <f>SUM(H29:K29)</f>
        <v>75</v>
      </c>
      <c r="AO43" s="574"/>
      <c r="AP43" s="581">
        <f>INT(AN43/2)</f>
        <v>37</v>
      </c>
      <c r="AQ43" s="575"/>
    </row>
    <row r="44" spans="2:43" ht="15.6" thickBot="1" x14ac:dyDescent="0.3">
      <c r="B44" s="408"/>
      <c r="C44" s="409"/>
      <c r="D44" s="409"/>
      <c r="E44" s="409"/>
      <c r="F44" s="409"/>
      <c r="G44" s="409"/>
      <c r="H44" s="409"/>
      <c r="I44" s="409"/>
      <c r="J44" s="410"/>
      <c r="K44" s="411"/>
      <c r="L44" s="412"/>
      <c r="M44" s="443">
        <f t="shared" si="14"/>
        <v>0</v>
      </c>
      <c r="N44" s="444"/>
      <c r="O44" s="443">
        <f t="shared" si="15"/>
        <v>0</v>
      </c>
      <c r="P44" s="444"/>
      <c r="Q44" s="60"/>
      <c r="R44" s="409"/>
      <c r="S44" s="409"/>
      <c r="T44" s="409"/>
      <c r="U44" s="409"/>
      <c r="V44" s="409"/>
      <c r="W44" s="410"/>
      <c r="X44" s="419"/>
      <c r="Y44" s="420"/>
      <c r="Z44" s="420"/>
      <c r="AA44" s="421"/>
      <c r="AB44" s="419"/>
      <c r="AC44" s="420"/>
      <c r="AD44" s="421"/>
      <c r="AE44" s="409"/>
      <c r="AF44" s="410"/>
      <c r="AG44" s="422"/>
      <c r="AH44" s="423"/>
      <c r="AJ44" s="578"/>
      <c r="AK44" s="579"/>
      <c r="AL44" s="579"/>
      <c r="AM44" s="579"/>
      <c r="AN44" s="582"/>
      <c r="AO44" s="582"/>
      <c r="AP44" s="583">
        <f>INT(AN43/5)</f>
        <v>15</v>
      </c>
      <c r="AQ44" s="584"/>
    </row>
    <row r="45" spans="2:43" x14ac:dyDescent="0.25">
      <c r="B45" s="57" t="s">
        <v>449</v>
      </c>
      <c r="C45" s="57"/>
      <c r="D45" s="57"/>
      <c r="E45" s="57"/>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row>
    <row r="46" spans="2:43" ht="15.6" thickBot="1" x14ac:dyDescent="0.3"/>
    <row r="47" spans="2:43" x14ac:dyDescent="0.25">
      <c r="B47" s="329" t="s">
        <v>34</v>
      </c>
      <c r="C47" s="330"/>
      <c r="D47" s="330"/>
      <c r="E47" s="330"/>
      <c r="F47" s="330"/>
      <c r="G47" s="330"/>
      <c r="H47" s="330"/>
      <c r="I47" s="330"/>
      <c r="J47" s="330"/>
      <c r="K47" s="330"/>
      <c r="L47" s="330"/>
      <c r="M47" s="330"/>
      <c r="N47" s="330"/>
      <c r="O47" s="330"/>
      <c r="P47" s="330"/>
      <c r="Q47" s="331"/>
      <c r="S47" s="243" t="s">
        <v>35</v>
      </c>
      <c r="T47" s="244"/>
      <c r="U47" s="244"/>
      <c r="V47" s="244"/>
      <c r="W47" s="244"/>
      <c r="X47" s="244"/>
      <c r="Y47" s="244"/>
      <c r="Z47" s="244"/>
      <c r="AA47" s="244"/>
      <c r="AB47" s="244"/>
      <c r="AC47" s="244"/>
      <c r="AD47" s="244"/>
      <c r="AE47" s="244"/>
      <c r="AF47" s="244"/>
      <c r="AG47" s="244"/>
      <c r="AH47" s="244"/>
      <c r="AI47" s="244"/>
      <c r="AJ47" s="244"/>
      <c r="AK47" s="244"/>
      <c r="AL47" s="244"/>
      <c r="AM47" s="244"/>
      <c r="AN47" s="244"/>
      <c r="AO47" s="244"/>
      <c r="AP47" s="244"/>
      <c r="AQ47" s="245"/>
    </row>
    <row r="48" spans="2:43" x14ac:dyDescent="0.25">
      <c r="B48" s="593" t="str">
        <f>"   信用评级："&amp;L26</f>
        <v xml:space="preserve">   信用评级：20% (10/4)</v>
      </c>
      <c r="C48" s="591"/>
      <c r="D48" s="591"/>
      <c r="E48" s="591"/>
      <c r="F48" s="591"/>
      <c r="G48" s="591"/>
      <c r="H48" s="591"/>
      <c r="I48" s="591"/>
      <c r="J48" s="594"/>
      <c r="K48" s="591" t="str">
        <f>"    生活水平："&amp;LOOKUP(CR,{0,1,10,50,90,99},{"身无分文","贫穷","标准","小康","富裕","富豪"})</f>
        <v xml:space="preserve">    生活水平：标准</v>
      </c>
      <c r="L48" s="591"/>
      <c r="M48" s="591"/>
      <c r="N48" s="591"/>
      <c r="O48" s="591"/>
      <c r="P48" s="591"/>
      <c r="Q48" s="592"/>
      <c r="S48" s="389" t="s">
        <v>542</v>
      </c>
      <c r="T48" s="294"/>
      <c r="U48" s="294"/>
      <c r="V48" s="294"/>
      <c r="W48" s="368" t="s">
        <v>737</v>
      </c>
      <c r="X48" s="369"/>
      <c r="Y48" s="369"/>
      <c r="Z48" s="369"/>
      <c r="AA48" s="369"/>
      <c r="AB48" s="369"/>
      <c r="AC48" s="369"/>
      <c r="AD48" s="369"/>
      <c r="AE48" s="369"/>
      <c r="AF48" s="369"/>
      <c r="AG48" s="369"/>
      <c r="AH48" s="369"/>
      <c r="AI48" s="369"/>
      <c r="AJ48" s="369"/>
      <c r="AK48" s="369"/>
      <c r="AL48" s="369"/>
      <c r="AM48" s="369"/>
      <c r="AN48" s="369"/>
      <c r="AO48" s="369"/>
      <c r="AP48" s="369"/>
      <c r="AQ48" s="370"/>
    </row>
    <row r="49" spans="2:43" x14ac:dyDescent="0.25">
      <c r="B49" s="435" t="s">
        <v>601</v>
      </c>
      <c r="C49" s="436"/>
      <c r="D49" s="404"/>
      <c r="E49" s="404"/>
      <c r="F49" s="404"/>
      <c r="G49" s="404"/>
      <c r="H49" s="404"/>
      <c r="I49" s="404"/>
      <c r="J49" s="406"/>
      <c r="K49" s="436" t="s">
        <v>600</v>
      </c>
      <c r="L49" s="437"/>
      <c r="M49" s="437"/>
      <c r="N49" s="404"/>
      <c r="O49" s="404"/>
      <c r="P49" s="404"/>
      <c r="Q49" s="405"/>
      <c r="S49" s="389"/>
      <c r="T49" s="294"/>
      <c r="U49" s="294"/>
      <c r="V49" s="294"/>
      <c r="W49" s="371"/>
      <c r="X49" s="372"/>
      <c r="Y49" s="372"/>
      <c r="Z49" s="372"/>
      <c r="AA49" s="372"/>
      <c r="AB49" s="372"/>
      <c r="AC49" s="372"/>
      <c r="AD49" s="372"/>
      <c r="AE49" s="372"/>
      <c r="AF49" s="372"/>
      <c r="AG49" s="372"/>
      <c r="AH49" s="372"/>
      <c r="AI49" s="372"/>
      <c r="AJ49" s="372"/>
      <c r="AK49" s="372"/>
      <c r="AL49" s="372"/>
      <c r="AM49" s="372"/>
      <c r="AN49" s="372"/>
      <c r="AO49" s="372"/>
      <c r="AP49" s="372"/>
      <c r="AQ49" s="373"/>
    </row>
    <row r="50" spans="2:43" x14ac:dyDescent="0.25">
      <c r="B50" s="426"/>
      <c r="C50" s="427"/>
      <c r="D50" s="427"/>
      <c r="E50" s="427"/>
      <c r="F50" s="427"/>
      <c r="G50" s="427"/>
      <c r="H50" s="427"/>
      <c r="I50" s="427"/>
      <c r="J50" s="427"/>
      <c r="K50" s="427"/>
      <c r="L50" s="427"/>
      <c r="M50" s="427"/>
      <c r="N50" s="427"/>
      <c r="O50" s="427"/>
      <c r="P50" s="427"/>
      <c r="Q50" s="428"/>
      <c r="S50" s="390" t="s">
        <v>351</v>
      </c>
      <c r="T50" s="291"/>
      <c r="U50" s="291"/>
      <c r="V50" s="291"/>
      <c r="W50" s="374" t="s">
        <v>744</v>
      </c>
      <c r="X50" s="375"/>
      <c r="Y50" s="375"/>
      <c r="Z50" s="375"/>
      <c r="AA50" s="375"/>
      <c r="AB50" s="375"/>
      <c r="AC50" s="375"/>
      <c r="AD50" s="375"/>
      <c r="AE50" s="375"/>
      <c r="AF50" s="375"/>
      <c r="AG50" s="375"/>
      <c r="AH50" s="375"/>
      <c r="AI50" s="375"/>
      <c r="AJ50" s="375"/>
      <c r="AK50" s="375"/>
      <c r="AL50" s="375"/>
      <c r="AM50" s="375"/>
      <c r="AN50" s="375"/>
      <c r="AO50" s="375"/>
      <c r="AP50" s="375"/>
      <c r="AQ50" s="376"/>
    </row>
    <row r="51" spans="2:43" x14ac:dyDescent="0.25">
      <c r="B51" s="429"/>
      <c r="C51" s="430"/>
      <c r="D51" s="430"/>
      <c r="E51" s="430"/>
      <c r="F51" s="430"/>
      <c r="G51" s="430"/>
      <c r="H51" s="430"/>
      <c r="I51" s="430"/>
      <c r="J51" s="430"/>
      <c r="K51" s="430"/>
      <c r="L51" s="430"/>
      <c r="M51" s="430"/>
      <c r="N51" s="430"/>
      <c r="O51" s="430"/>
      <c r="P51" s="430"/>
      <c r="Q51" s="431"/>
      <c r="S51" s="390"/>
      <c r="T51" s="291"/>
      <c r="U51" s="291"/>
      <c r="V51" s="291"/>
      <c r="W51" s="377"/>
      <c r="X51" s="378"/>
      <c r="Y51" s="378"/>
      <c r="Z51" s="378"/>
      <c r="AA51" s="378"/>
      <c r="AB51" s="378"/>
      <c r="AC51" s="378"/>
      <c r="AD51" s="378"/>
      <c r="AE51" s="378"/>
      <c r="AF51" s="378"/>
      <c r="AG51" s="378"/>
      <c r="AH51" s="378"/>
      <c r="AI51" s="378"/>
      <c r="AJ51" s="378"/>
      <c r="AK51" s="378"/>
      <c r="AL51" s="378"/>
      <c r="AM51" s="378"/>
      <c r="AN51" s="378"/>
      <c r="AO51" s="378"/>
      <c r="AP51" s="378"/>
      <c r="AQ51" s="379"/>
    </row>
    <row r="52" spans="2:43" x14ac:dyDescent="0.25">
      <c r="B52" s="429"/>
      <c r="C52" s="430"/>
      <c r="D52" s="430"/>
      <c r="E52" s="430"/>
      <c r="F52" s="430"/>
      <c r="G52" s="430"/>
      <c r="H52" s="430"/>
      <c r="I52" s="430"/>
      <c r="J52" s="430"/>
      <c r="K52" s="430"/>
      <c r="L52" s="430"/>
      <c r="M52" s="430"/>
      <c r="N52" s="430"/>
      <c r="O52" s="430"/>
      <c r="P52" s="430"/>
      <c r="Q52" s="431"/>
      <c r="S52" s="389" t="s">
        <v>352</v>
      </c>
      <c r="T52" s="294"/>
      <c r="U52" s="294"/>
      <c r="V52" s="294"/>
      <c r="W52" s="368" t="s">
        <v>746</v>
      </c>
      <c r="X52" s="369"/>
      <c r="Y52" s="369"/>
      <c r="Z52" s="369"/>
      <c r="AA52" s="369"/>
      <c r="AB52" s="369"/>
      <c r="AC52" s="369"/>
      <c r="AD52" s="369"/>
      <c r="AE52" s="369"/>
      <c r="AF52" s="369"/>
      <c r="AG52" s="369"/>
      <c r="AH52" s="369"/>
      <c r="AI52" s="369"/>
      <c r="AJ52" s="369"/>
      <c r="AK52" s="369"/>
      <c r="AL52" s="369"/>
      <c r="AM52" s="369"/>
      <c r="AN52" s="369"/>
      <c r="AO52" s="369"/>
      <c r="AP52" s="369"/>
      <c r="AQ52" s="370"/>
    </row>
    <row r="53" spans="2:43" ht="15.6" thickBot="1" x14ac:dyDescent="0.3">
      <c r="B53" s="432"/>
      <c r="C53" s="433"/>
      <c r="D53" s="433"/>
      <c r="E53" s="433"/>
      <c r="F53" s="433"/>
      <c r="G53" s="433"/>
      <c r="H53" s="433"/>
      <c r="I53" s="433"/>
      <c r="J53" s="433"/>
      <c r="K53" s="433"/>
      <c r="L53" s="433"/>
      <c r="M53" s="433"/>
      <c r="N53" s="433"/>
      <c r="O53" s="433"/>
      <c r="P53" s="433"/>
      <c r="Q53" s="434"/>
      <c r="S53" s="389"/>
      <c r="T53" s="294"/>
      <c r="U53" s="294"/>
      <c r="V53" s="294"/>
      <c r="W53" s="371"/>
      <c r="X53" s="372"/>
      <c r="Y53" s="372"/>
      <c r="Z53" s="372"/>
      <c r="AA53" s="372"/>
      <c r="AB53" s="372"/>
      <c r="AC53" s="372"/>
      <c r="AD53" s="372"/>
      <c r="AE53" s="372"/>
      <c r="AF53" s="372"/>
      <c r="AG53" s="372"/>
      <c r="AH53" s="372"/>
      <c r="AI53" s="372"/>
      <c r="AJ53" s="372"/>
      <c r="AK53" s="372"/>
      <c r="AL53" s="372"/>
      <c r="AM53" s="372"/>
      <c r="AN53" s="372"/>
      <c r="AO53" s="372"/>
      <c r="AP53" s="372"/>
      <c r="AQ53" s="373"/>
    </row>
    <row r="54" spans="2:43" ht="15.6" thickBot="1" x14ac:dyDescent="0.3">
      <c r="B54" s="44"/>
      <c r="C54" s="44"/>
      <c r="D54" s="44"/>
      <c r="E54" s="44"/>
      <c r="F54" s="44"/>
      <c r="G54" s="44"/>
      <c r="H54" s="44"/>
      <c r="I54" s="44"/>
      <c r="J54" s="44"/>
      <c r="K54" s="44"/>
      <c r="L54" s="44"/>
      <c r="M54" s="44"/>
      <c r="N54" s="44"/>
      <c r="O54" s="44"/>
      <c r="P54" s="44"/>
      <c r="Q54" s="44"/>
      <c r="S54" s="390" t="s">
        <v>335</v>
      </c>
      <c r="T54" s="291"/>
      <c r="U54" s="291"/>
      <c r="V54" s="291"/>
      <c r="W54" s="374" t="s">
        <v>745</v>
      </c>
      <c r="X54" s="375"/>
      <c r="Y54" s="375"/>
      <c r="Z54" s="375"/>
      <c r="AA54" s="375"/>
      <c r="AB54" s="375"/>
      <c r="AC54" s="375"/>
      <c r="AD54" s="375"/>
      <c r="AE54" s="375"/>
      <c r="AF54" s="375"/>
      <c r="AG54" s="375"/>
      <c r="AH54" s="375"/>
      <c r="AI54" s="375"/>
      <c r="AJ54" s="375"/>
      <c r="AK54" s="375"/>
      <c r="AL54" s="375"/>
      <c r="AM54" s="375"/>
      <c r="AN54" s="375"/>
      <c r="AO54" s="375"/>
      <c r="AP54" s="375"/>
      <c r="AQ54" s="376"/>
    </row>
    <row r="55" spans="2:43" x14ac:dyDescent="0.25">
      <c r="B55" s="413" t="s">
        <v>703</v>
      </c>
      <c r="C55" s="414"/>
      <c r="D55" s="414"/>
      <c r="E55" s="414"/>
      <c r="F55" s="414"/>
      <c r="G55" s="414"/>
      <c r="H55" s="414"/>
      <c r="I55" s="414"/>
      <c r="J55" s="414"/>
      <c r="K55" s="414"/>
      <c r="L55" s="414"/>
      <c r="M55" s="414"/>
      <c r="N55" s="414"/>
      <c r="O55" s="414"/>
      <c r="P55" s="414"/>
      <c r="Q55" s="415"/>
      <c r="S55" s="390"/>
      <c r="T55" s="291"/>
      <c r="U55" s="291"/>
      <c r="V55" s="291"/>
      <c r="W55" s="377"/>
      <c r="X55" s="378"/>
      <c r="Y55" s="378"/>
      <c r="Z55" s="378"/>
      <c r="AA55" s="378"/>
      <c r="AB55" s="378"/>
      <c r="AC55" s="378"/>
      <c r="AD55" s="378"/>
      <c r="AE55" s="378"/>
      <c r="AF55" s="378"/>
      <c r="AG55" s="378"/>
      <c r="AH55" s="378"/>
      <c r="AI55" s="378"/>
      <c r="AJ55" s="378"/>
      <c r="AK55" s="378"/>
      <c r="AL55" s="378"/>
      <c r="AM55" s="378"/>
      <c r="AN55" s="378"/>
      <c r="AO55" s="378"/>
      <c r="AP55" s="378"/>
      <c r="AQ55" s="379"/>
    </row>
    <row r="56" spans="2:43" x14ac:dyDescent="0.25">
      <c r="B56" s="416" t="s">
        <v>748</v>
      </c>
      <c r="C56" s="417"/>
      <c r="D56" s="417"/>
      <c r="E56" s="417"/>
      <c r="F56" s="417"/>
      <c r="G56" s="417"/>
      <c r="H56" s="417"/>
      <c r="I56" s="417"/>
      <c r="J56" s="417"/>
      <c r="K56" s="417"/>
      <c r="L56" s="417"/>
      <c r="M56" s="417"/>
      <c r="N56" s="417"/>
      <c r="O56" s="417"/>
      <c r="P56" s="417"/>
      <c r="Q56" s="418"/>
      <c r="S56" s="389" t="s">
        <v>350</v>
      </c>
      <c r="T56" s="294"/>
      <c r="U56" s="294"/>
      <c r="V56" s="294"/>
      <c r="W56" s="368" t="s">
        <v>747</v>
      </c>
      <c r="X56" s="369"/>
      <c r="Y56" s="369"/>
      <c r="Z56" s="369"/>
      <c r="AA56" s="369"/>
      <c r="AB56" s="369"/>
      <c r="AC56" s="369"/>
      <c r="AD56" s="369"/>
      <c r="AE56" s="369"/>
      <c r="AF56" s="369"/>
      <c r="AG56" s="369"/>
      <c r="AH56" s="369"/>
      <c r="AI56" s="369"/>
      <c r="AJ56" s="369"/>
      <c r="AK56" s="369"/>
      <c r="AL56" s="369"/>
      <c r="AM56" s="369"/>
      <c r="AN56" s="369"/>
      <c r="AO56" s="369"/>
      <c r="AP56" s="369"/>
      <c r="AQ56" s="370"/>
    </row>
    <row r="57" spans="2:43" x14ac:dyDescent="0.25">
      <c r="B57" s="391" t="s">
        <v>739</v>
      </c>
      <c r="C57" s="392"/>
      <c r="D57" s="392"/>
      <c r="E57" s="392"/>
      <c r="F57" s="392"/>
      <c r="G57" s="392"/>
      <c r="H57" s="392"/>
      <c r="I57" s="392"/>
      <c r="J57" s="392"/>
      <c r="K57" s="392"/>
      <c r="L57" s="392"/>
      <c r="M57" s="392"/>
      <c r="N57" s="392"/>
      <c r="O57" s="392"/>
      <c r="P57" s="392"/>
      <c r="Q57" s="393"/>
      <c r="S57" s="389"/>
      <c r="T57" s="294"/>
      <c r="U57" s="294"/>
      <c r="V57" s="294"/>
      <c r="W57" s="371"/>
      <c r="X57" s="372"/>
      <c r="Y57" s="372"/>
      <c r="Z57" s="372"/>
      <c r="AA57" s="372"/>
      <c r="AB57" s="372"/>
      <c r="AC57" s="372"/>
      <c r="AD57" s="372"/>
      <c r="AE57" s="372"/>
      <c r="AF57" s="372"/>
      <c r="AG57" s="372"/>
      <c r="AH57" s="372"/>
      <c r="AI57" s="372"/>
      <c r="AJ57" s="372"/>
      <c r="AK57" s="372"/>
      <c r="AL57" s="372"/>
      <c r="AM57" s="372"/>
      <c r="AN57" s="372"/>
      <c r="AO57" s="372"/>
      <c r="AP57" s="372"/>
      <c r="AQ57" s="373"/>
    </row>
    <row r="58" spans="2:43" x14ac:dyDescent="0.25">
      <c r="B58" s="416" t="s">
        <v>740</v>
      </c>
      <c r="C58" s="417"/>
      <c r="D58" s="417"/>
      <c r="E58" s="417"/>
      <c r="F58" s="417"/>
      <c r="G58" s="417"/>
      <c r="H58" s="417"/>
      <c r="I58" s="417"/>
      <c r="J58" s="417"/>
      <c r="K58" s="417"/>
      <c r="L58" s="417"/>
      <c r="M58" s="417"/>
      <c r="N58" s="417"/>
      <c r="O58" s="417"/>
      <c r="P58" s="417"/>
      <c r="Q58" s="418"/>
      <c r="S58" s="390" t="s">
        <v>353</v>
      </c>
      <c r="T58" s="291"/>
      <c r="U58" s="291"/>
      <c r="V58" s="291"/>
      <c r="W58" s="374" t="s">
        <v>743</v>
      </c>
      <c r="X58" s="375"/>
      <c r="Y58" s="375"/>
      <c r="Z58" s="375"/>
      <c r="AA58" s="375"/>
      <c r="AB58" s="375"/>
      <c r="AC58" s="375"/>
      <c r="AD58" s="375"/>
      <c r="AE58" s="375"/>
      <c r="AF58" s="375"/>
      <c r="AG58" s="375"/>
      <c r="AH58" s="375"/>
      <c r="AI58" s="375"/>
      <c r="AJ58" s="375"/>
      <c r="AK58" s="375"/>
      <c r="AL58" s="375"/>
      <c r="AM58" s="375"/>
      <c r="AN58" s="375"/>
      <c r="AO58" s="375"/>
      <c r="AP58" s="375"/>
      <c r="AQ58" s="376"/>
    </row>
    <row r="59" spans="2:43" x14ac:dyDescent="0.25">
      <c r="B59" s="391" t="s">
        <v>742</v>
      </c>
      <c r="C59" s="392"/>
      <c r="D59" s="392"/>
      <c r="E59" s="392"/>
      <c r="F59" s="392"/>
      <c r="G59" s="392"/>
      <c r="H59" s="392"/>
      <c r="I59" s="392"/>
      <c r="J59" s="392"/>
      <c r="K59" s="392"/>
      <c r="L59" s="392"/>
      <c r="M59" s="392"/>
      <c r="N59" s="392"/>
      <c r="O59" s="392"/>
      <c r="P59" s="392"/>
      <c r="Q59" s="393"/>
      <c r="S59" s="390"/>
      <c r="T59" s="291"/>
      <c r="U59" s="291"/>
      <c r="V59" s="291"/>
      <c r="W59" s="377"/>
      <c r="X59" s="378"/>
      <c r="Y59" s="378"/>
      <c r="Z59" s="378"/>
      <c r="AA59" s="378"/>
      <c r="AB59" s="378"/>
      <c r="AC59" s="378"/>
      <c r="AD59" s="378"/>
      <c r="AE59" s="378"/>
      <c r="AF59" s="378"/>
      <c r="AG59" s="378"/>
      <c r="AH59" s="378"/>
      <c r="AI59" s="378"/>
      <c r="AJ59" s="378"/>
      <c r="AK59" s="378"/>
      <c r="AL59" s="378"/>
      <c r="AM59" s="378"/>
      <c r="AN59" s="378"/>
      <c r="AO59" s="378"/>
      <c r="AP59" s="378"/>
      <c r="AQ59" s="379"/>
    </row>
    <row r="60" spans="2:43" x14ac:dyDescent="0.25">
      <c r="B60" s="416" t="s">
        <v>741</v>
      </c>
      <c r="C60" s="417"/>
      <c r="D60" s="417"/>
      <c r="E60" s="417"/>
      <c r="F60" s="417"/>
      <c r="G60" s="417"/>
      <c r="H60" s="417"/>
      <c r="I60" s="417"/>
      <c r="J60" s="417"/>
      <c r="K60" s="417"/>
      <c r="L60" s="417"/>
      <c r="M60" s="417"/>
      <c r="N60" s="417"/>
      <c r="O60" s="417"/>
      <c r="P60" s="417"/>
      <c r="Q60" s="418"/>
      <c r="S60" s="389" t="s">
        <v>336</v>
      </c>
      <c r="T60" s="294"/>
      <c r="U60" s="294"/>
      <c r="V60" s="294"/>
      <c r="W60" s="368" t="s">
        <v>745</v>
      </c>
      <c r="X60" s="369"/>
      <c r="Y60" s="369"/>
      <c r="Z60" s="369"/>
      <c r="AA60" s="369"/>
      <c r="AB60" s="369"/>
      <c r="AC60" s="369"/>
      <c r="AD60" s="369"/>
      <c r="AE60" s="369"/>
      <c r="AF60" s="369"/>
      <c r="AG60" s="369"/>
      <c r="AH60" s="369"/>
      <c r="AI60" s="369"/>
      <c r="AJ60" s="369"/>
      <c r="AK60" s="369"/>
      <c r="AL60" s="369"/>
      <c r="AM60" s="369"/>
      <c r="AN60" s="369"/>
      <c r="AO60" s="369"/>
      <c r="AP60" s="369"/>
      <c r="AQ60" s="370"/>
    </row>
    <row r="61" spans="2:43" x14ac:dyDescent="0.25">
      <c r="B61" s="391" t="s">
        <v>749</v>
      </c>
      <c r="C61" s="392"/>
      <c r="D61" s="392"/>
      <c r="E61" s="392"/>
      <c r="F61" s="392"/>
      <c r="G61" s="392"/>
      <c r="H61" s="392"/>
      <c r="I61" s="392"/>
      <c r="J61" s="392"/>
      <c r="K61" s="392"/>
      <c r="L61" s="392"/>
      <c r="M61" s="392"/>
      <c r="N61" s="392"/>
      <c r="O61" s="392"/>
      <c r="P61" s="392"/>
      <c r="Q61" s="393"/>
      <c r="S61" s="389"/>
      <c r="T61" s="294"/>
      <c r="U61" s="294"/>
      <c r="V61" s="294"/>
      <c r="W61" s="371"/>
      <c r="X61" s="372"/>
      <c r="Y61" s="372"/>
      <c r="Z61" s="372"/>
      <c r="AA61" s="372"/>
      <c r="AB61" s="372"/>
      <c r="AC61" s="372"/>
      <c r="AD61" s="372"/>
      <c r="AE61" s="372"/>
      <c r="AF61" s="372"/>
      <c r="AG61" s="372"/>
      <c r="AH61" s="372"/>
      <c r="AI61" s="372"/>
      <c r="AJ61" s="372"/>
      <c r="AK61" s="372"/>
      <c r="AL61" s="372"/>
      <c r="AM61" s="372"/>
      <c r="AN61" s="372"/>
      <c r="AO61" s="372"/>
      <c r="AP61" s="372"/>
      <c r="AQ61" s="373"/>
    </row>
    <row r="62" spans="2:43" x14ac:dyDescent="0.25">
      <c r="B62" s="416"/>
      <c r="C62" s="417"/>
      <c r="D62" s="417"/>
      <c r="E62" s="417"/>
      <c r="F62" s="417"/>
      <c r="G62" s="417"/>
      <c r="H62" s="417"/>
      <c r="I62" s="417"/>
      <c r="J62" s="417"/>
      <c r="K62" s="417"/>
      <c r="L62" s="417"/>
      <c r="M62" s="417"/>
      <c r="N62" s="417"/>
      <c r="O62" s="417"/>
      <c r="P62" s="417"/>
      <c r="Q62" s="418"/>
      <c r="S62" s="390" t="s">
        <v>337</v>
      </c>
      <c r="T62" s="291"/>
      <c r="U62" s="291"/>
      <c r="V62" s="291"/>
      <c r="W62" s="374"/>
      <c r="X62" s="375"/>
      <c r="Y62" s="375"/>
      <c r="Z62" s="375"/>
      <c r="AA62" s="375"/>
      <c r="AB62" s="375"/>
      <c r="AC62" s="375"/>
      <c r="AD62" s="375"/>
      <c r="AE62" s="375"/>
      <c r="AF62" s="375"/>
      <c r="AG62" s="375"/>
      <c r="AH62" s="375"/>
      <c r="AI62" s="375"/>
      <c r="AJ62" s="375"/>
      <c r="AK62" s="375"/>
      <c r="AL62" s="375"/>
      <c r="AM62" s="375"/>
      <c r="AN62" s="375"/>
      <c r="AO62" s="375"/>
      <c r="AP62" s="375"/>
      <c r="AQ62" s="376"/>
    </row>
    <row r="63" spans="2:43" x14ac:dyDescent="0.25">
      <c r="B63" s="391"/>
      <c r="C63" s="392"/>
      <c r="D63" s="392"/>
      <c r="E63" s="392"/>
      <c r="F63" s="392"/>
      <c r="G63" s="392"/>
      <c r="H63" s="392"/>
      <c r="I63" s="392"/>
      <c r="J63" s="392"/>
      <c r="K63" s="392"/>
      <c r="L63" s="392"/>
      <c r="M63" s="392"/>
      <c r="N63" s="392"/>
      <c r="O63" s="392"/>
      <c r="P63" s="392"/>
      <c r="Q63" s="393"/>
      <c r="S63" s="390"/>
      <c r="T63" s="291"/>
      <c r="U63" s="291"/>
      <c r="V63" s="291"/>
      <c r="W63" s="377"/>
      <c r="X63" s="378"/>
      <c r="Y63" s="378"/>
      <c r="Z63" s="378"/>
      <c r="AA63" s="378"/>
      <c r="AB63" s="378"/>
      <c r="AC63" s="378"/>
      <c r="AD63" s="378"/>
      <c r="AE63" s="378"/>
      <c r="AF63" s="378"/>
      <c r="AG63" s="378"/>
      <c r="AH63" s="378"/>
      <c r="AI63" s="378"/>
      <c r="AJ63" s="378"/>
      <c r="AK63" s="378"/>
      <c r="AL63" s="378"/>
      <c r="AM63" s="378"/>
      <c r="AN63" s="378"/>
      <c r="AO63" s="378"/>
      <c r="AP63" s="378"/>
      <c r="AQ63" s="379"/>
    </row>
    <row r="64" spans="2:43" ht="15.6" thickBot="1" x14ac:dyDescent="0.3">
      <c r="B64" s="562"/>
      <c r="C64" s="563"/>
      <c r="D64" s="563"/>
      <c r="E64" s="563"/>
      <c r="F64" s="563"/>
      <c r="G64" s="563"/>
      <c r="H64" s="563"/>
      <c r="I64" s="563"/>
      <c r="J64" s="563"/>
      <c r="K64" s="563"/>
      <c r="L64" s="563"/>
      <c r="M64" s="563"/>
      <c r="N64" s="563"/>
      <c r="O64" s="563"/>
      <c r="P64" s="563"/>
      <c r="Q64" s="564"/>
      <c r="S64" s="380" t="s">
        <v>738</v>
      </c>
      <c r="T64" s="369"/>
      <c r="U64" s="369"/>
      <c r="V64" s="369"/>
      <c r="W64" s="369"/>
      <c r="X64" s="369"/>
      <c r="Y64" s="369"/>
      <c r="Z64" s="369"/>
      <c r="AA64" s="369"/>
      <c r="AB64" s="369"/>
      <c r="AC64" s="369"/>
      <c r="AD64" s="369"/>
      <c r="AE64" s="369"/>
      <c r="AF64" s="369"/>
      <c r="AG64" s="369"/>
      <c r="AH64" s="369"/>
      <c r="AI64" s="369"/>
      <c r="AJ64" s="369"/>
      <c r="AK64" s="369"/>
      <c r="AL64" s="369"/>
      <c r="AM64" s="369"/>
      <c r="AN64" s="369"/>
      <c r="AO64" s="369"/>
      <c r="AP64" s="369"/>
      <c r="AQ64" s="370"/>
    </row>
    <row r="65" spans="2:43" ht="15.6" thickBot="1" x14ac:dyDescent="0.3">
      <c r="B65" s="44"/>
      <c r="C65" s="44"/>
      <c r="D65" s="44"/>
      <c r="E65" s="44"/>
      <c r="F65" s="44"/>
      <c r="G65" s="44"/>
      <c r="H65" s="44"/>
      <c r="I65" s="44"/>
      <c r="J65" s="44"/>
      <c r="K65" s="44"/>
      <c r="L65" s="44"/>
      <c r="M65" s="44"/>
      <c r="N65" s="44"/>
      <c r="O65" s="44"/>
      <c r="P65" s="44"/>
      <c r="Q65" s="44"/>
      <c r="S65" s="381"/>
      <c r="T65" s="382"/>
      <c r="U65" s="382"/>
      <c r="V65" s="382"/>
      <c r="W65" s="382"/>
      <c r="X65" s="382"/>
      <c r="Y65" s="382"/>
      <c r="Z65" s="382"/>
      <c r="AA65" s="382"/>
      <c r="AB65" s="382"/>
      <c r="AC65" s="382"/>
      <c r="AD65" s="382"/>
      <c r="AE65" s="382"/>
      <c r="AF65" s="382"/>
      <c r="AG65" s="382"/>
      <c r="AH65" s="382"/>
      <c r="AI65" s="382"/>
      <c r="AJ65" s="382"/>
      <c r="AK65" s="382"/>
      <c r="AL65" s="382"/>
      <c r="AM65" s="382"/>
      <c r="AN65" s="382"/>
      <c r="AO65" s="382"/>
      <c r="AP65" s="382"/>
      <c r="AQ65" s="383"/>
    </row>
    <row r="66" spans="2:43" x14ac:dyDescent="0.25">
      <c r="B66" s="413" t="s">
        <v>412</v>
      </c>
      <c r="C66" s="414"/>
      <c r="D66" s="414"/>
      <c r="E66" s="414"/>
      <c r="F66" s="414"/>
      <c r="G66" s="414"/>
      <c r="H66" s="414"/>
      <c r="I66" s="414"/>
      <c r="J66" s="414"/>
      <c r="K66" s="414"/>
      <c r="L66" s="414"/>
      <c r="M66" s="414"/>
      <c r="N66" s="414"/>
      <c r="O66" s="414"/>
      <c r="P66" s="414"/>
      <c r="Q66" s="415"/>
      <c r="S66" s="381"/>
      <c r="T66" s="382"/>
      <c r="U66" s="382"/>
      <c r="V66" s="382"/>
      <c r="W66" s="382"/>
      <c r="X66" s="382"/>
      <c r="Y66" s="382"/>
      <c r="Z66" s="382"/>
      <c r="AA66" s="382"/>
      <c r="AB66" s="382"/>
      <c r="AC66" s="382"/>
      <c r="AD66" s="382"/>
      <c r="AE66" s="382"/>
      <c r="AF66" s="382"/>
      <c r="AG66" s="382"/>
      <c r="AH66" s="382"/>
      <c r="AI66" s="382"/>
      <c r="AJ66" s="382"/>
      <c r="AK66" s="382"/>
      <c r="AL66" s="382"/>
      <c r="AM66" s="382"/>
      <c r="AN66" s="382"/>
      <c r="AO66" s="382"/>
      <c r="AP66" s="382"/>
      <c r="AQ66" s="383"/>
    </row>
    <row r="67" spans="2:43" x14ac:dyDescent="0.25">
      <c r="B67" s="565"/>
      <c r="C67" s="566"/>
      <c r="D67" s="566"/>
      <c r="E67" s="566"/>
      <c r="F67" s="566"/>
      <c r="G67" s="566"/>
      <c r="H67" s="566"/>
      <c r="I67" s="566"/>
      <c r="J67" s="566"/>
      <c r="K67" s="566"/>
      <c r="L67" s="566"/>
      <c r="M67" s="566"/>
      <c r="N67" s="566"/>
      <c r="O67" s="566"/>
      <c r="P67" s="566"/>
      <c r="Q67" s="567"/>
      <c r="S67" s="381"/>
      <c r="T67" s="382"/>
      <c r="U67" s="382"/>
      <c r="V67" s="382"/>
      <c r="W67" s="382"/>
      <c r="X67" s="382"/>
      <c r="Y67" s="382"/>
      <c r="Z67" s="382"/>
      <c r="AA67" s="382"/>
      <c r="AB67" s="382"/>
      <c r="AC67" s="382"/>
      <c r="AD67" s="382"/>
      <c r="AE67" s="382"/>
      <c r="AF67" s="382"/>
      <c r="AG67" s="382"/>
      <c r="AH67" s="382"/>
      <c r="AI67" s="382"/>
      <c r="AJ67" s="382"/>
      <c r="AK67" s="382"/>
      <c r="AL67" s="382"/>
      <c r="AM67" s="382"/>
      <c r="AN67" s="382"/>
      <c r="AO67" s="382"/>
      <c r="AP67" s="382"/>
      <c r="AQ67" s="383"/>
    </row>
    <row r="68" spans="2:43" x14ac:dyDescent="0.25">
      <c r="B68" s="565"/>
      <c r="C68" s="566"/>
      <c r="D68" s="566"/>
      <c r="E68" s="566"/>
      <c r="F68" s="566"/>
      <c r="G68" s="566"/>
      <c r="H68" s="566"/>
      <c r="I68" s="566"/>
      <c r="J68" s="566"/>
      <c r="K68" s="566"/>
      <c r="L68" s="566"/>
      <c r="M68" s="566"/>
      <c r="N68" s="566"/>
      <c r="O68" s="566"/>
      <c r="P68" s="566"/>
      <c r="Q68" s="567"/>
      <c r="S68" s="381"/>
      <c r="T68" s="382"/>
      <c r="U68" s="382"/>
      <c r="V68" s="382"/>
      <c r="W68" s="382"/>
      <c r="X68" s="382"/>
      <c r="Y68" s="382"/>
      <c r="Z68" s="382"/>
      <c r="AA68" s="382"/>
      <c r="AB68" s="382"/>
      <c r="AC68" s="382"/>
      <c r="AD68" s="382"/>
      <c r="AE68" s="382"/>
      <c r="AF68" s="382"/>
      <c r="AG68" s="382"/>
      <c r="AH68" s="382"/>
      <c r="AI68" s="382"/>
      <c r="AJ68" s="382"/>
      <c r="AK68" s="382"/>
      <c r="AL68" s="382"/>
      <c r="AM68" s="382"/>
      <c r="AN68" s="382"/>
      <c r="AO68" s="382"/>
      <c r="AP68" s="382"/>
      <c r="AQ68" s="383"/>
    </row>
    <row r="69" spans="2:43" x14ac:dyDescent="0.25">
      <c r="B69" s="565"/>
      <c r="C69" s="566"/>
      <c r="D69" s="566"/>
      <c r="E69" s="566"/>
      <c r="F69" s="566"/>
      <c r="G69" s="566"/>
      <c r="H69" s="566"/>
      <c r="I69" s="566"/>
      <c r="J69" s="566"/>
      <c r="K69" s="566"/>
      <c r="L69" s="566"/>
      <c r="M69" s="566"/>
      <c r="N69" s="566"/>
      <c r="O69" s="566"/>
      <c r="P69" s="566"/>
      <c r="Q69" s="567"/>
      <c r="S69" s="381"/>
      <c r="T69" s="382"/>
      <c r="U69" s="382"/>
      <c r="V69" s="382"/>
      <c r="W69" s="382"/>
      <c r="X69" s="382"/>
      <c r="Y69" s="382"/>
      <c r="Z69" s="382"/>
      <c r="AA69" s="382"/>
      <c r="AB69" s="382"/>
      <c r="AC69" s="382"/>
      <c r="AD69" s="382"/>
      <c r="AE69" s="382"/>
      <c r="AF69" s="382"/>
      <c r="AG69" s="382"/>
      <c r="AH69" s="382"/>
      <c r="AI69" s="382"/>
      <c r="AJ69" s="382"/>
      <c r="AK69" s="382"/>
      <c r="AL69" s="382"/>
      <c r="AM69" s="382"/>
      <c r="AN69" s="382"/>
      <c r="AO69" s="382"/>
      <c r="AP69" s="382"/>
      <c r="AQ69" s="383"/>
    </row>
    <row r="70" spans="2:43" x14ac:dyDescent="0.25">
      <c r="B70" s="565"/>
      <c r="C70" s="566"/>
      <c r="D70" s="566"/>
      <c r="E70" s="566"/>
      <c r="F70" s="566"/>
      <c r="G70" s="566"/>
      <c r="H70" s="566"/>
      <c r="I70" s="566"/>
      <c r="J70" s="566"/>
      <c r="K70" s="566"/>
      <c r="L70" s="566"/>
      <c r="M70" s="566"/>
      <c r="N70" s="566"/>
      <c r="O70" s="566"/>
      <c r="P70" s="566"/>
      <c r="Q70" s="567"/>
      <c r="S70" s="381"/>
      <c r="T70" s="382"/>
      <c r="U70" s="382"/>
      <c r="V70" s="382"/>
      <c r="W70" s="382"/>
      <c r="X70" s="382"/>
      <c r="Y70" s="382"/>
      <c r="Z70" s="382"/>
      <c r="AA70" s="382"/>
      <c r="AB70" s="382"/>
      <c r="AC70" s="382"/>
      <c r="AD70" s="382"/>
      <c r="AE70" s="382"/>
      <c r="AF70" s="382"/>
      <c r="AG70" s="382"/>
      <c r="AH70" s="382"/>
      <c r="AI70" s="382"/>
      <c r="AJ70" s="382"/>
      <c r="AK70" s="382"/>
      <c r="AL70" s="382"/>
      <c r="AM70" s="382"/>
      <c r="AN70" s="382"/>
      <c r="AO70" s="382"/>
      <c r="AP70" s="382"/>
      <c r="AQ70" s="383"/>
    </row>
    <row r="71" spans="2:43" x14ac:dyDescent="0.25">
      <c r="B71" s="565"/>
      <c r="C71" s="566"/>
      <c r="D71" s="566"/>
      <c r="E71" s="566"/>
      <c r="F71" s="566"/>
      <c r="G71" s="566"/>
      <c r="H71" s="566"/>
      <c r="I71" s="566"/>
      <c r="J71" s="566"/>
      <c r="K71" s="566"/>
      <c r="L71" s="566"/>
      <c r="M71" s="566"/>
      <c r="N71" s="566"/>
      <c r="O71" s="566"/>
      <c r="P71" s="566"/>
      <c r="Q71" s="567"/>
      <c r="S71" s="381"/>
      <c r="T71" s="382"/>
      <c r="U71" s="382"/>
      <c r="V71" s="382"/>
      <c r="W71" s="382"/>
      <c r="X71" s="382"/>
      <c r="Y71" s="382"/>
      <c r="Z71" s="382"/>
      <c r="AA71" s="382"/>
      <c r="AB71" s="382"/>
      <c r="AC71" s="382"/>
      <c r="AD71" s="382"/>
      <c r="AE71" s="382"/>
      <c r="AF71" s="382"/>
      <c r="AG71" s="382"/>
      <c r="AH71" s="382"/>
      <c r="AI71" s="382"/>
      <c r="AJ71" s="382"/>
      <c r="AK71" s="382"/>
      <c r="AL71" s="382"/>
      <c r="AM71" s="382"/>
      <c r="AN71" s="382"/>
      <c r="AO71" s="382"/>
      <c r="AP71" s="382"/>
      <c r="AQ71" s="383"/>
    </row>
    <row r="72" spans="2:43" x14ac:dyDescent="0.25">
      <c r="B72" s="565"/>
      <c r="C72" s="566"/>
      <c r="D72" s="566"/>
      <c r="E72" s="566"/>
      <c r="F72" s="566"/>
      <c r="G72" s="566"/>
      <c r="H72" s="566"/>
      <c r="I72" s="566"/>
      <c r="J72" s="566"/>
      <c r="K72" s="566"/>
      <c r="L72" s="566"/>
      <c r="M72" s="566"/>
      <c r="N72" s="566"/>
      <c r="O72" s="566"/>
      <c r="P72" s="566"/>
      <c r="Q72" s="567"/>
      <c r="S72" s="381"/>
      <c r="T72" s="382"/>
      <c r="U72" s="382"/>
      <c r="V72" s="382"/>
      <c r="W72" s="382"/>
      <c r="X72" s="382"/>
      <c r="Y72" s="382"/>
      <c r="Z72" s="382"/>
      <c r="AA72" s="382"/>
      <c r="AB72" s="382"/>
      <c r="AC72" s="382"/>
      <c r="AD72" s="382"/>
      <c r="AE72" s="382"/>
      <c r="AF72" s="382"/>
      <c r="AG72" s="382"/>
      <c r="AH72" s="382"/>
      <c r="AI72" s="382"/>
      <c r="AJ72" s="382"/>
      <c r="AK72" s="382"/>
      <c r="AL72" s="382"/>
      <c r="AM72" s="382"/>
      <c r="AN72" s="382"/>
      <c r="AO72" s="382"/>
      <c r="AP72" s="382"/>
      <c r="AQ72" s="383"/>
    </row>
    <row r="73" spans="2:43" ht="15.6" thickBot="1" x14ac:dyDescent="0.3">
      <c r="B73" s="565"/>
      <c r="C73" s="566"/>
      <c r="D73" s="566"/>
      <c r="E73" s="566"/>
      <c r="F73" s="566"/>
      <c r="G73" s="566"/>
      <c r="H73" s="566"/>
      <c r="I73" s="566"/>
      <c r="J73" s="566"/>
      <c r="K73" s="566"/>
      <c r="L73" s="566"/>
      <c r="M73" s="566"/>
      <c r="N73" s="566"/>
      <c r="O73" s="566"/>
      <c r="P73" s="566"/>
      <c r="Q73" s="567"/>
      <c r="S73" s="384"/>
      <c r="T73" s="385"/>
      <c r="U73" s="385"/>
      <c r="V73" s="385"/>
      <c r="W73" s="385"/>
      <c r="X73" s="385"/>
      <c r="Y73" s="385"/>
      <c r="Z73" s="385"/>
      <c r="AA73" s="385"/>
      <c r="AB73" s="385"/>
      <c r="AC73" s="385"/>
      <c r="AD73" s="385"/>
      <c r="AE73" s="385"/>
      <c r="AF73" s="385"/>
      <c r="AG73" s="385"/>
      <c r="AH73" s="385"/>
      <c r="AI73" s="385"/>
      <c r="AJ73" s="385"/>
      <c r="AK73" s="385"/>
      <c r="AL73" s="385"/>
      <c r="AM73" s="385"/>
      <c r="AN73" s="385"/>
      <c r="AO73" s="385"/>
      <c r="AP73" s="385"/>
      <c r="AQ73" s="386"/>
    </row>
    <row r="74" spans="2:43" ht="15.6" thickBot="1" x14ac:dyDescent="0.3">
      <c r="B74" s="565"/>
      <c r="C74" s="566"/>
      <c r="D74" s="566"/>
      <c r="E74" s="566"/>
      <c r="F74" s="566"/>
      <c r="G74" s="566"/>
      <c r="H74" s="566"/>
      <c r="I74" s="566"/>
      <c r="J74" s="566"/>
      <c r="K74" s="566"/>
      <c r="L74" s="566"/>
      <c r="M74" s="566"/>
      <c r="N74" s="566"/>
      <c r="O74" s="566"/>
      <c r="P74" s="566"/>
      <c r="Q74" s="567"/>
    </row>
    <row r="75" spans="2:43" x14ac:dyDescent="0.25">
      <c r="B75" s="565"/>
      <c r="C75" s="566"/>
      <c r="D75" s="566"/>
      <c r="E75" s="566"/>
      <c r="F75" s="566"/>
      <c r="G75" s="566"/>
      <c r="H75" s="566"/>
      <c r="I75" s="566"/>
      <c r="J75" s="566"/>
      <c r="K75" s="566"/>
      <c r="L75" s="566"/>
      <c r="M75" s="566"/>
      <c r="N75" s="566"/>
      <c r="O75" s="566"/>
      <c r="P75" s="566"/>
      <c r="Q75" s="567"/>
      <c r="S75" s="243" t="s">
        <v>339</v>
      </c>
      <c r="T75" s="244"/>
      <c r="U75" s="244"/>
      <c r="V75" s="244"/>
      <c r="W75" s="244"/>
      <c r="X75" s="244"/>
      <c r="Y75" s="244"/>
      <c r="Z75" s="244"/>
      <c r="AA75" s="244"/>
      <c r="AB75" s="245"/>
      <c r="AD75" s="243" t="s">
        <v>11</v>
      </c>
      <c r="AE75" s="244"/>
      <c r="AF75" s="244"/>
      <c r="AG75" s="244"/>
      <c r="AH75" s="244"/>
      <c r="AI75" s="244"/>
      <c r="AJ75" s="244"/>
      <c r="AK75" s="244"/>
      <c r="AL75" s="244"/>
      <c r="AM75" s="244"/>
      <c r="AN75" s="244"/>
      <c r="AO75" s="244"/>
      <c r="AP75" s="244"/>
      <c r="AQ75" s="245"/>
    </row>
    <row r="76" spans="2:43" x14ac:dyDescent="0.25">
      <c r="B76" s="565"/>
      <c r="C76" s="566"/>
      <c r="D76" s="566"/>
      <c r="E76" s="566"/>
      <c r="F76" s="566"/>
      <c r="G76" s="566"/>
      <c r="H76" s="566"/>
      <c r="I76" s="566"/>
      <c r="J76" s="566"/>
      <c r="K76" s="566"/>
      <c r="L76" s="566"/>
      <c r="M76" s="566"/>
      <c r="N76" s="566"/>
      <c r="O76" s="566"/>
      <c r="P76" s="566"/>
      <c r="Q76" s="567"/>
      <c r="S76" s="537" t="s">
        <v>411</v>
      </c>
      <c r="T76" s="538"/>
      <c r="U76" s="538"/>
      <c r="V76" s="538"/>
      <c r="W76" s="538"/>
      <c r="X76" s="538"/>
      <c r="Y76" s="538"/>
      <c r="Z76" s="538"/>
      <c r="AA76" s="538"/>
      <c r="AB76" s="539"/>
      <c r="AD76" s="394" t="s">
        <v>722</v>
      </c>
      <c r="AE76" s="359"/>
      <c r="AF76" s="359"/>
      <c r="AG76" s="359"/>
      <c r="AH76" s="359"/>
      <c r="AI76" s="359"/>
      <c r="AJ76" s="395"/>
      <c r="AK76" s="358" t="s">
        <v>338</v>
      </c>
      <c r="AL76" s="359"/>
      <c r="AM76" s="359"/>
      <c r="AN76" s="359"/>
      <c r="AO76" s="359"/>
      <c r="AP76" s="359"/>
      <c r="AQ76" s="360"/>
    </row>
    <row r="77" spans="2:43" ht="15.6" thickBot="1" x14ac:dyDescent="0.3">
      <c r="B77" s="559"/>
      <c r="C77" s="560"/>
      <c r="D77" s="560"/>
      <c r="E77" s="560"/>
      <c r="F77" s="560"/>
      <c r="G77" s="560"/>
      <c r="H77" s="560"/>
      <c r="I77" s="560"/>
      <c r="J77" s="560"/>
      <c r="K77" s="560"/>
      <c r="L77" s="560"/>
      <c r="M77" s="560"/>
      <c r="N77" s="560"/>
      <c r="O77" s="560"/>
      <c r="P77" s="560"/>
      <c r="Q77" s="561"/>
      <c r="S77" s="540"/>
      <c r="T77" s="541"/>
      <c r="U77" s="541"/>
      <c r="V77" s="541"/>
      <c r="W77" s="541"/>
      <c r="X77" s="541"/>
      <c r="Y77" s="541"/>
      <c r="Z77" s="541"/>
      <c r="AA77" s="541"/>
      <c r="AB77" s="542"/>
      <c r="AD77" s="387"/>
      <c r="AE77" s="361"/>
      <c r="AF77" s="361"/>
      <c r="AG77" s="361"/>
      <c r="AH77" s="361"/>
      <c r="AI77" s="361"/>
      <c r="AJ77" s="388"/>
      <c r="AK77" s="396"/>
      <c r="AL77" s="361"/>
      <c r="AM77" s="361"/>
      <c r="AN77" s="361"/>
      <c r="AO77" s="361"/>
      <c r="AP77" s="361"/>
      <c r="AQ77" s="362"/>
    </row>
    <row r="78" spans="2:43" ht="15.6" thickBot="1" x14ac:dyDescent="0.3">
      <c r="S78" s="531"/>
      <c r="T78" s="532"/>
      <c r="U78" s="532"/>
      <c r="V78" s="532"/>
      <c r="W78" s="532"/>
      <c r="X78" s="532"/>
      <c r="Y78" s="532"/>
      <c r="Z78" s="532"/>
      <c r="AA78" s="532"/>
      <c r="AB78" s="533"/>
      <c r="AD78" s="354"/>
      <c r="AE78" s="355"/>
      <c r="AF78" s="355"/>
      <c r="AG78" s="355"/>
      <c r="AH78" s="355"/>
      <c r="AI78" s="355"/>
      <c r="AJ78" s="356"/>
      <c r="AK78" s="355"/>
      <c r="AL78" s="355"/>
      <c r="AM78" s="355"/>
      <c r="AN78" s="355"/>
      <c r="AO78" s="355"/>
      <c r="AP78" s="355"/>
      <c r="AQ78" s="357"/>
    </row>
    <row r="79" spans="2:43" x14ac:dyDescent="0.25">
      <c r="B79" s="243" t="s">
        <v>288</v>
      </c>
      <c r="C79" s="244"/>
      <c r="D79" s="244"/>
      <c r="E79" s="244"/>
      <c r="F79" s="244"/>
      <c r="G79" s="244"/>
      <c r="H79" s="244"/>
      <c r="I79" s="244"/>
      <c r="J79" s="244"/>
      <c r="K79" s="244"/>
      <c r="L79" s="244"/>
      <c r="M79" s="244"/>
      <c r="N79" s="244"/>
      <c r="O79" s="244"/>
      <c r="P79" s="244"/>
      <c r="Q79" s="245"/>
      <c r="S79" s="534"/>
      <c r="T79" s="535"/>
      <c r="U79" s="535"/>
      <c r="V79" s="535"/>
      <c r="W79" s="535"/>
      <c r="X79" s="535"/>
      <c r="Y79" s="535"/>
      <c r="Z79" s="535"/>
      <c r="AA79" s="535"/>
      <c r="AB79" s="536"/>
      <c r="AD79" s="387"/>
      <c r="AE79" s="361"/>
      <c r="AF79" s="361"/>
      <c r="AG79" s="361"/>
      <c r="AH79" s="361"/>
      <c r="AI79" s="361"/>
      <c r="AJ79" s="388"/>
      <c r="AK79" s="361"/>
      <c r="AL79" s="361"/>
      <c r="AM79" s="361"/>
      <c r="AN79" s="361"/>
      <c r="AO79" s="361"/>
      <c r="AP79" s="361"/>
      <c r="AQ79" s="362"/>
    </row>
    <row r="80" spans="2:43" x14ac:dyDescent="0.25">
      <c r="B80" s="312" t="s">
        <v>290</v>
      </c>
      <c r="C80" s="288"/>
      <c r="D80" s="288"/>
      <c r="E80" s="288"/>
      <c r="F80" s="294" t="s">
        <v>36</v>
      </c>
      <c r="G80" s="294"/>
      <c r="H80" s="294" t="s">
        <v>37</v>
      </c>
      <c r="I80" s="294"/>
      <c r="J80" s="294" t="s">
        <v>38</v>
      </c>
      <c r="K80" s="294"/>
      <c r="L80" s="294" t="s">
        <v>39</v>
      </c>
      <c r="M80" s="294"/>
      <c r="N80" s="294" t="s">
        <v>40</v>
      </c>
      <c r="O80" s="294"/>
      <c r="P80" s="294" t="s">
        <v>41</v>
      </c>
      <c r="Q80" s="549"/>
      <c r="S80" s="537"/>
      <c r="T80" s="538"/>
      <c r="U80" s="538"/>
      <c r="V80" s="538"/>
      <c r="W80" s="538"/>
      <c r="X80" s="538"/>
      <c r="Y80" s="538"/>
      <c r="Z80" s="538"/>
      <c r="AA80" s="538"/>
      <c r="AB80" s="539"/>
      <c r="AD80" s="354"/>
      <c r="AE80" s="355"/>
      <c r="AF80" s="355"/>
      <c r="AG80" s="355"/>
      <c r="AH80" s="355"/>
      <c r="AI80" s="355"/>
      <c r="AJ80" s="356"/>
      <c r="AK80" s="355"/>
      <c r="AL80" s="355"/>
      <c r="AM80" s="355"/>
      <c r="AN80" s="355"/>
      <c r="AO80" s="355"/>
      <c r="AP80" s="355"/>
      <c r="AQ80" s="357"/>
    </row>
    <row r="81" spans="2:43" x14ac:dyDescent="0.25">
      <c r="B81" s="312"/>
      <c r="C81" s="288"/>
      <c r="D81" s="288"/>
      <c r="E81" s="288"/>
      <c r="F81" s="294" t="s">
        <v>293</v>
      </c>
      <c r="G81" s="294"/>
      <c r="H81" s="294" t="s">
        <v>43</v>
      </c>
      <c r="I81" s="294"/>
      <c r="J81" s="294" t="s">
        <v>42</v>
      </c>
      <c r="K81" s="294"/>
      <c r="L81" s="294" t="s">
        <v>44</v>
      </c>
      <c r="M81" s="294"/>
      <c r="N81" s="294" t="s">
        <v>45</v>
      </c>
      <c r="O81" s="294"/>
      <c r="P81" s="551" t="s">
        <v>541</v>
      </c>
      <c r="Q81" s="549"/>
      <c r="S81" s="540"/>
      <c r="T81" s="541"/>
      <c r="U81" s="541"/>
      <c r="V81" s="541"/>
      <c r="W81" s="541"/>
      <c r="X81" s="541"/>
      <c r="Y81" s="541"/>
      <c r="Z81" s="541"/>
      <c r="AA81" s="541"/>
      <c r="AB81" s="542"/>
      <c r="AD81" s="387"/>
      <c r="AE81" s="361"/>
      <c r="AF81" s="361"/>
      <c r="AG81" s="361"/>
      <c r="AH81" s="361"/>
      <c r="AI81" s="361"/>
      <c r="AJ81" s="388"/>
      <c r="AK81" s="361"/>
      <c r="AL81" s="361"/>
      <c r="AM81" s="361"/>
      <c r="AN81" s="361"/>
      <c r="AO81" s="361"/>
      <c r="AP81" s="361"/>
      <c r="AQ81" s="362"/>
    </row>
    <row r="82" spans="2:43" x14ac:dyDescent="0.25">
      <c r="B82" s="312" t="s">
        <v>704</v>
      </c>
      <c r="C82" s="288"/>
      <c r="D82" s="288"/>
      <c r="E82" s="288"/>
      <c r="F82" s="288"/>
      <c r="G82" s="288"/>
      <c r="H82" s="288"/>
      <c r="I82" s="288"/>
      <c r="J82" s="288"/>
      <c r="K82" s="288"/>
      <c r="L82" s="288"/>
      <c r="M82" s="288"/>
      <c r="N82" s="288"/>
      <c r="O82" s="288"/>
      <c r="P82" s="288"/>
      <c r="Q82" s="550"/>
      <c r="S82" s="531"/>
      <c r="T82" s="532"/>
      <c r="U82" s="532"/>
      <c r="V82" s="532"/>
      <c r="W82" s="532"/>
      <c r="X82" s="532"/>
      <c r="Y82" s="532"/>
      <c r="Z82" s="532"/>
      <c r="AA82" s="532"/>
      <c r="AB82" s="533"/>
      <c r="AD82" s="354"/>
      <c r="AE82" s="355"/>
      <c r="AF82" s="355"/>
      <c r="AG82" s="355"/>
      <c r="AH82" s="355"/>
      <c r="AI82" s="355"/>
      <c r="AJ82" s="356"/>
      <c r="AK82" s="355"/>
      <c r="AL82" s="355"/>
      <c r="AM82" s="355"/>
      <c r="AN82" s="355"/>
      <c r="AO82" s="355"/>
      <c r="AP82" s="355"/>
      <c r="AQ82" s="357"/>
    </row>
    <row r="83" spans="2:43" x14ac:dyDescent="0.25">
      <c r="B83" s="312"/>
      <c r="C83" s="288"/>
      <c r="D83" s="288"/>
      <c r="E83" s="288"/>
      <c r="F83" s="288"/>
      <c r="G83" s="288"/>
      <c r="H83" s="288"/>
      <c r="I83" s="288"/>
      <c r="J83" s="288"/>
      <c r="K83" s="288"/>
      <c r="L83" s="288"/>
      <c r="M83" s="288"/>
      <c r="N83" s="288"/>
      <c r="O83" s="288"/>
      <c r="P83" s="288"/>
      <c r="Q83" s="550"/>
      <c r="S83" s="534"/>
      <c r="T83" s="535"/>
      <c r="U83" s="535"/>
      <c r="V83" s="535"/>
      <c r="W83" s="535"/>
      <c r="X83" s="535"/>
      <c r="Y83" s="535"/>
      <c r="Z83" s="535"/>
      <c r="AA83" s="535"/>
      <c r="AB83" s="536"/>
      <c r="AD83" s="387"/>
      <c r="AE83" s="361"/>
      <c r="AF83" s="361"/>
      <c r="AG83" s="361"/>
      <c r="AH83" s="361"/>
      <c r="AI83" s="361"/>
      <c r="AJ83" s="388"/>
      <c r="AK83" s="361"/>
      <c r="AL83" s="361"/>
      <c r="AM83" s="361"/>
      <c r="AN83" s="361"/>
      <c r="AO83" s="361"/>
      <c r="AP83" s="361"/>
      <c r="AQ83" s="362"/>
    </row>
    <row r="84" spans="2:43" x14ac:dyDescent="0.25">
      <c r="B84" s="389" t="s">
        <v>46</v>
      </c>
      <c r="C84" s="294"/>
      <c r="D84" s="294"/>
      <c r="E84" s="294"/>
      <c r="F84" s="294"/>
      <c r="G84" s="294"/>
      <c r="H84" s="294"/>
      <c r="I84" s="294"/>
      <c r="J84" s="294" t="s">
        <v>292</v>
      </c>
      <c r="K84" s="294"/>
      <c r="L84" s="294"/>
      <c r="M84" s="294"/>
      <c r="N84" s="294"/>
      <c r="O84" s="294"/>
      <c r="P84" s="294"/>
      <c r="Q84" s="549"/>
      <c r="S84" s="537"/>
      <c r="T84" s="538"/>
      <c r="U84" s="538"/>
      <c r="V84" s="538"/>
      <c r="W84" s="538"/>
      <c r="X84" s="538"/>
      <c r="Y84" s="538"/>
      <c r="Z84" s="538"/>
      <c r="AA84" s="538"/>
      <c r="AB84" s="539"/>
      <c r="AD84" s="354"/>
      <c r="AE84" s="355"/>
      <c r="AF84" s="355"/>
      <c r="AG84" s="355"/>
      <c r="AH84" s="355"/>
      <c r="AI84" s="355"/>
      <c r="AJ84" s="356"/>
      <c r="AK84" s="355"/>
      <c r="AL84" s="355"/>
      <c r="AM84" s="355"/>
      <c r="AN84" s="355"/>
      <c r="AO84" s="355"/>
      <c r="AP84" s="355"/>
      <c r="AQ84" s="357"/>
    </row>
    <row r="85" spans="2:43" x14ac:dyDescent="0.25">
      <c r="B85" s="389" t="s">
        <v>47</v>
      </c>
      <c r="C85" s="294"/>
      <c r="D85" s="294"/>
      <c r="E85" s="294" t="s">
        <v>50</v>
      </c>
      <c r="F85" s="294"/>
      <c r="G85" s="294"/>
      <c r="H85" s="294"/>
      <c r="I85" s="294"/>
      <c r="J85" s="294"/>
      <c r="K85" s="294"/>
      <c r="L85" s="294"/>
      <c r="M85" s="294"/>
      <c r="N85" s="294"/>
      <c r="O85" s="294"/>
      <c r="P85" s="294"/>
      <c r="Q85" s="549"/>
      <c r="S85" s="540"/>
      <c r="T85" s="541"/>
      <c r="U85" s="541"/>
      <c r="V85" s="541"/>
      <c r="W85" s="541"/>
      <c r="X85" s="541"/>
      <c r="Y85" s="541"/>
      <c r="Z85" s="541"/>
      <c r="AA85" s="541"/>
      <c r="AB85" s="542"/>
      <c r="AD85" s="387"/>
      <c r="AE85" s="361"/>
      <c r="AF85" s="361"/>
      <c r="AG85" s="361"/>
      <c r="AH85" s="361"/>
      <c r="AI85" s="361"/>
      <c r="AJ85" s="388"/>
      <c r="AK85" s="361"/>
      <c r="AL85" s="361"/>
      <c r="AM85" s="361"/>
      <c r="AN85" s="361"/>
      <c r="AO85" s="361"/>
      <c r="AP85" s="361"/>
      <c r="AQ85" s="362"/>
    </row>
    <row r="86" spans="2:43" x14ac:dyDescent="0.25">
      <c r="B86" s="389" t="s">
        <v>48</v>
      </c>
      <c r="C86" s="294"/>
      <c r="D86" s="294"/>
      <c r="E86" s="294" t="s">
        <v>51</v>
      </c>
      <c r="F86" s="294"/>
      <c r="G86" s="294"/>
      <c r="H86" s="294"/>
      <c r="I86" s="294"/>
      <c r="J86" s="294"/>
      <c r="K86" s="294"/>
      <c r="L86" s="294"/>
      <c r="M86" s="294"/>
      <c r="N86" s="294"/>
      <c r="O86" s="294"/>
      <c r="P86" s="294"/>
      <c r="Q86" s="549"/>
      <c r="S86" s="531"/>
      <c r="T86" s="532"/>
      <c r="U86" s="532"/>
      <c r="V86" s="532"/>
      <c r="W86" s="532"/>
      <c r="X86" s="532"/>
      <c r="Y86" s="532"/>
      <c r="Z86" s="532"/>
      <c r="AA86" s="532"/>
      <c r="AB86" s="533"/>
      <c r="AD86" s="354"/>
      <c r="AE86" s="355"/>
      <c r="AF86" s="355"/>
      <c r="AG86" s="355"/>
      <c r="AH86" s="355"/>
      <c r="AI86" s="355"/>
      <c r="AJ86" s="356"/>
      <c r="AK86" s="355"/>
      <c r="AL86" s="355"/>
      <c r="AM86" s="355"/>
      <c r="AN86" s="355"/>
      <c r="AO86" s="355"/>
      <c r="AP86" s="355"/>
      <c r="AQ86" s="357"/>
    </row>
    <row r="87" spans="2:43" x14ac:dyDescent="0.25">
      <c r="B87" s="389" t="s">
        <v>49</v>
      </c>
      <c r="C87" s="294"/>
      <c r="D87" s="294"/>
      <c r="E87" s="288" t="s">
        <v>52</v>
      </c>
      <c r="F87" s="288"/>
      <c r="G87" s="288"/>
      <c r="H87" s="288"/>
      <c r="I87" s="288"/>
      <c r="J87" s="288"/>
      <c r="K87" s="288"/>
      <c r="L87" s="288"/>
      <c r="M87" s="288"/>
      <c r="N87" s="288"/>
      <c r="O87" s="288"/>
      <c r="P87" s="288"/>
      <c r="Q87" s="550"/>
      <c r="S87" s="534"/>
      <c r="T87" s="535"/>
      <c r="U87" s="535"/>
      <c r="V87" s="535"/>
      <c r="W87" s="535"/>
      <c r="X87" s="535"/>
      <c r="Y87" s="535"/>
      <c r="Z87" s="535"/>
      <c r="AA87" s="535"/>
      <c r="AB87" s="536"/>
      <c r="AD87" s="387"/>
      <c r="AE87" s="361"/>
      <c r="AF87" s="361"/>
      <c r="AG87" s="361"/>
      <c r="AH87" s="361"/>
      <c r="AI87" s="361"/>
      <c r="AJ87" s="388"/>
      <c r="AK87" s="361"/>
      <c r="AL87" s="361"/>
      <c r="AM87" s="361"/>
      <c r="AN87" s="361"/>
      <c r="AO87" s="361"/>
      <c r="AP87" s="361"/>
      <c r="AQ87" s="362"/>
    </row>
    <row r="88" spans="2:43" x14ac:dyDescent="0.25">
      <c r="B88" s="389"/>
      <c r="C88" s="294"/>
      <c r="D88" s="294"/>
      <c r="E88" s="288"/>
      <c r="F88" s="288"/>
      <c r="G88" s="288"/>
      <c r="H88" s="288"/>
      <c r="I88" s="288"/>
      <c r="J88" s="288"/>
      <c r="K88" s="288"/>
      <c r="L88" s="288"/>
      <c r="M88" s="288"/>
      <c r="N88" s="288"/>
      <c r="O88" s="288"/>
      <c r="P88" s="288"/>
      <c r="Q88" s="550"/>
      <c r="S88" s="537"/>
      <c r="T88" s="538"/>
      <c r="U88" s="538"/>
      <c r="V88" s="538"/>
      <c r="W88" s="538"/>
      <c r="X88" s="538"/>
      <c r="Y88" s="538"/>
      <c r="Z88" s="538"/>
      <c r="AA88" s="538"/>
      <c r="AB88" s="539"/>
      <c r="AD88" s="354"/>
      <c r="AE88" s="355"/>
      <c r="AF88" s="355"/>
      <c r="AG88" s="355"/>
      <c r="AH88" s="355"/>
      <c r="AI88" s="355"/>
      <c r="AJ88" s="356"/>
      <c r="AK88" s="355"/>
      <c r="AL88" s="355"/>
      <c r="AM88" s="355"/>
      <c r="AN88" s="355"/>
      <c r="AO88" s="355"/>
      <c r="AP88" s="355"/>
      <c r="AQ88" s="357"/>
    </row>
    <row r="89" spans="2:43" ht="15.6" thickBot="1" x14ac:dyDescent="0.3">
      <c r="B89" s="570" t="s">
        <v>53</v>
      </c>
      <c r="C89" s="568"/>
      <c r="D89" s="568"/>
      <c r="E89" s="568"/>
      <c r="F89" s="568"/>
      <c r="G89" s="568"/>
      <c r="H89" s="568"/>
      <c r="I89" s="568"/>
      <c r="J89" s="568" t="s">
        <v>54</v>
      </c>
      <c r="K89" s="568"/>
      <c r="L89" s="568"/>
      <c r="M89" s="568"/>
      <c r="N89" s="568"/>
      <c r="O89" s="568"/>
      <c r="P89" s="568"/>
      <c r="Q89" s="569"/>
      <c r="S89" s="559"/>
      <c r="T89" s="560"/>
      <c r="U89" s="560"/>
      <c r="V89" s="560"/>
      <c r="W89" s="560"/>
      <c r="X89" s="560"/>
      <c r="Y89" s="560"/>
      <c r="Z89" s="560"/>
      <c r="AA89" s="560"/>
      <c r="AB89" s="561"/>
      <c r="AD89" s="363"/>
      <c r="AE89" s="364"/>
      <c r="AF89" s="364"/>
      <c r="AG89" s="364"/>
      <c r="AH89" s="364"/>
      <c r="AI89" s="364"/>
      <c r="AJ89" s="365"/>
      <c r="AK89" s="366"/>
      <c r="AL89" s="364"/>
      <c r="AM89" s="364"/>
      <c r="AN89" s="364"/>
      <c r="AO89" s="364"/>
      <c r="AP89" s="364"/>
      <c r="AQ89" s="367"/>
    </row>
  </sheetData>
  <sheetProtection algorithmName="SHA-512" hashValue="6SJFH/Aryo6Sl5RJWhgSFm4kX+2uyomew5nJosx+IR9HOnSDgNUxKDRaLZrG+gkJ7kIwliIbu2zQ2S6sYYVihA==" saltValue="xSPow9Ocu3Sl/Yx0aSIcaw==" spinCount="100000" sheet="1" selectLockedCells="1"/>
  <mergeCells count="496">
    <mergeCell ref="K48:Q48"/>
    <mergeCell ref="B48:J48"/>
    <mergeCell ref="AN34:AQ34"/>
    <mergeCell ref="AE35:AI35"/>
    <mergeCell ref="AJ35:AK35"/>
    <mergeCell ref="AL35:AM35"/>
    <mergeCell ref="AN35:AQ35"/>
    <mergeCell ref="AE36:AI36"/>
    <mergeCell ref="AJ36:AK36"/>
    <mergeCell ref="AL36:AM36"/>
    <mergeCell ref="AN36:AQ36"/>
    <mergeCell ref="Q36:U36"/>
    <mergeCell ref="V36:W36"/>
    <mergeCell ref="X36:Y36"/>
    <mergeCell ref="Z36:AC36"/>
    <mergeCell ref="Q34:U34"/>
    <mergeCell ref="V34:W34"/>
    <mergeCell ref="X34:Y34"/>
    <mergeCell ref="Z34:AC34"/>
    <mergeCell ref="Q35:U35"/>
    <mergeCell ref="V35:W35"/>
    <mergeCell ref="X35:Y35"/>
    <mergeCell ref="Z35:AC35"/>
    <mergeCell ref="C36:G36"/>
    <mergeCell ref="AE16:AI16"/>
    <mergeCell ref="AJ16:AK16"/>
    <mergeCell ref="AL16:AM16"/>
    <mergeCell ref="AN16:AQ16"/>
    <mergeCell ref="AE17:AI17"/>
    <mergeCell ref="AJ17:AK17"/>
    <mergeCell ref="AL17:AM17"/>
    <mergeCell ref="AN17:AQ17"/>
    <mergeCell ref="AE18:AI18"/>
    <mergeCell ref="AJ18:AK18"/>
    <mergeCell ref="AL18:AM18"/>
    <mergeCell ref="AN18:AQ18"/>
    <mergeCell ref="AE19:AI19"/>
    <mergeCell ref="AJ19:AK19"/>
    <mergeCell ref="AL19:AM19"/>
    <mergeCell ref="AN19:AQ19"/>
    <mergeCell ref="AE20:AI20"/>
    <mergeCell ref="AJ20:AK20"/>
    <mergeCell ref="AL20:AM20"/>
    <mergeCell ref="AN20:AQ20"/>
    <mergeCell ref="Q33:U33"/>
    <mergeCell ref="V33:W33"/>
    <mergeCell ref="X33:Y33"/>
    <mergeCell ref="Z33:AC33"/>
    <mergeCell ref="Q30:U30"/>
    <mergeCell ref="V30:W30"/>
    <mergeCell ref="X30:Y30"/>
    <mergeCell ref="Z30:AC30"/>
    <mergeCell ref="Q31:U31"/>
    <mergeCell ref="V31:W31"/>
    <mergeCell ref="X31:Y31"/>
    <mergeCell ref="Z31:AC31"/>
    <mergeCell ref="Q32:U32"/>
    <mergeCell ref="V32:W32"/>
    <mergeCell ref="X32:Y32"/>
    <mergeCell ref="Z32:AC32"/>
    <mergeCell ref="AE15:AI15"/>
    <mergeCell ref="AJ15:AK15"/>
    <mergeCell ref="AL15:AM15"/>
    <mergeCell ref="AN15:AQ15"/>
    <mergeCell ref="Q29:U29"/>
    <mergeCell ref="V29:W29"/>
    <mergeCell ref="X29:Y29"/>
    <mergeCell ref="Z29:AC29"/>
    <mergeCell ref="AE21:AI21"/>
    <mergeCell ref="AJ21:AK21"/>
    <mergeCell ref="AL21:AM21"/>
    <mergeCell ref="AN21:AQ21"/>
    <mergeCell ref="AE22:AI22"/>
    <mergeCell ref="AJ22:AK22"/>
    <mergeCell ref="AL22:AM22"/>
    <mergeCell ref="AN22:AQ22"/>
    <mergeCell ref="AE23:AI23"/>
    <mergeCell ref="AJ23:AK23"/>
    <mergeCell ref="AL23:AM23"/>
    <mergeCell ref="AN23:AQ23"/>
    <mergeCell ref="AE24:AI24"/>
    <mergeCell ref="AJ24:AK24"/>
    <mergeCell ref="Q23:U23"/>
    <mergeCell ref="V23:W23"/>
    <mergeCell ref="X23:Y23"/>
    <mergeCell ref="Z23:AC23"/>
    <mergeCell ref="Q24:U24"/>
    <mergeCell ref="V24:W24"/>
    <mergeCell ref="X24:Y24"/>
    <mergeCell ref="Z24:AC24"/>
    <mergeCell ref="Q25:U25"/>
    <mergeCell ref="V25:W25"/>
    <mergeCell ref="X25:Y25"/>
    <mergeCell ref="Z25:AC25"/>
    <mergeCell ref="V20:W20"/>
    <mergeCell ref="X20:Y20"/>
    <mergeCell ref="Z20:AC20"/>
    <mergeCell ref="Q21:U21"/>
    <mergeCell ref="V21:W21"/>
    <mergeCell ref="X21:Y21"/>
    <mergeCell ref="Z21:AC21"/>
    <mergeCell ref="Q22:U22"/>
    <mergeCell ref="V22:W22"/>
    <mergeCell ref="X22:Y22"/>
    <mergeCell ref="Z22:AC22"/>
    <mergeCell ref="V17:W17"/>
    <mergeCell ref="X17:Y17"/>
    <mergeCell ref="Z17:AC17"/>
    <mergeCell ref="Q18:U18"/>
    <mergeCell ref="V18:W18"/>
    <mergeCell ref="X18:Y18"/>
    <mergeCell ref="Z18:AC18"/>
    <mergeCell ref="Q19:U19"/>
    <mergeCell ref="V19:W19"/>
    <mergeCell ref="X19:Y19"/>
    <mergeCell ref="Z19:AC19"/>
    <mergeCell ref="C31:G31"/>
    <mergeCell ref="H31:I31"/>
    <mergeCell ref="J31:K31"/>
    <mergeCell ref="L31:O31"/>
    <mergeCell ref="C32:G32"/>
    <mergeCell ref="Q17:U17"/>
    <mergeCell ref="Q20:U20"/>
    <mergeCell ref="H32:I32"/>
    <mergeCell ref="J32:K32"/>
    <mergeCell ref="L32:O32"/>
    <mergeCell ref="C21:G21"/>
    <mergeCell ref="H21:I21"/>
    <mergeCell ref="J21:K21"/>
    <mergeCell ref="L21:O21"/>
    <mergeCell ref="C22:G22"/>
    <mergeCell ref="H22:I22"/>
    <mergeCell ref="J22:K22"/>
    <mergeCell ref="L22:O22"/>
    <mergeCell ref="C23:G23"/>
    <mergeCell ref="H23:I23"/>
    <mergeCell ref="J23:K23"/>
    <mergeCell ref="L23:O23"/>
    <mergeCell ref="C18:G18"/>
    <mergeCell ref="H18:I18"/>
    <mergeCell ref="C34:G34"/>
    <mergeCell ref="H34:I34"/>
    <mergeCell ref="J34:K34"/>
    <mergeCell ref="L34:O34"/>
    <mergeCell ref="H36:I36"/>
    <mergeCell ref="J36:K36"/>
    <mergeCell ref="L36:O36"/>
    <mergeCell ref="C35:G35"/>
    <mergeCell ref="H35:I35"/>
    <mergeCell ref="J35:K35"/>
    <mergeCell ref="L35:O35"/>
    <mergeCell ref="C33:G33"/>
    <mergeCell ref="H33:I33"/>
    <mergeCell ref="J33:K33"/>
    <mergeCell ref="L33:O33"/>
    <mergeCell ref="C24:G24"/>
    <mergeCell ref="H24:I24"/>
    <mergeCell ref="J24:K24"/>
    <mergeCell ref="L24:O24"/>
    <mergeCell ref="C25:G25"/>
    <mergeCell ref="H25:I25"/>
    <mergeCell ref="J25:K25"/>
    <mergeCell ref="L25:O25"/>
    <mergeCell ref="C26:G26"/>
    <mergeCell ref="H26:I26"/>
    <mergeCell ref="J26:K26"/>
    <mergeCell ref="L26:O26"/>
    <mergeCell ref="C29:G29"/>
    <mergeCell ref="H29:I29"/>
    <mergeCell ref="J29:K29"/>
    <mergeCell ref="L29:O29"/>
    <mergeCell ref="C30:G30"/>
    <mergeCell ref="H30:I30"/>
    <mergeCell ref="J30:K30"/>
    <mergeCell ref="L30:O30"/>
    <mergeCell ref="J18:K18"/>
    <mergeCell ref="L18:O18"/>
    <mergeCell ref="C19:G19"/>
    <mergeCell ref="H19:I19"/>
    <mergeCell ref="J19:K19"/>
    <mergeCell ref="L19:O19"/>
    <mergeCell ref="C20:G20"/>
    <mergeCell ref="H20:I20"/>
    <mergeCell ref="J20:K20"/>
    <mergeCell ref="L20:O20"/>
    <mergeCell ref="AG40:AH40"/>
    <mergeCell ref="AG41:AH41"/>
    <mergeCell ref="AE40:AF40"/>
    <mergeCell ref="AE41:AF41"/>
    <mergeCell ref="AJ38:AQ38"/>
    <mergeCell ref="AN39:AQ40"/>
    <mergeCell ref="AJ39:AM40"/>
    <mergeCell ref="AJ41:AM42"/>
    <mergeCell ref="AJ43:AM44"/>
    <mergeCell ref="AN41:AQ42"/>
    <mergeCell ref="AN43:AO44"/>
    <mergeCell ref="AP43:AQ43"/>
    <mergeCell ref="AP44:AQ44"/>
    <mergeCell ref="AG39:AH39"/>
    <mergeCell ref="AG42:AH42"/>
    <mergeCell ref="AG43:AH43"/>
    <mergeCell ref="AE44:AF44"/>
    <mergeCell ref="AE39:AF39"/>
    <mergeCell ref="S88:AB89"/>
    <mergeCell ref="S84:AB85"/>
    <mergeCell ref="S86:AB87"/>
    <mergeCell ref="S75:AB75"/>
    <mergeCell ref="B66:Q66"/>
    <mergeCell ref="B64:Q64"/>
    <mergeCell ref="B67:Q77"/>
    <mergeCell ref="J80:K80"/>
    <mergeCell ref="J81:K81"/>
    <mergeCell ref="B87:D88"/>
    <mergeCell ref="E87:Q88"/>
    <mergeCell ref="J89:Q89"/>
    <mergeCell ref="B89:I89"/>
    <mergeCell ref="E86:Q86"/>
    <mergeCell ref="B80:E81"/>
    <mergeCell ref="F80:G80"/>
    <mergeCell ref="F81:G81"/>
    <mergeCell ref="N80:O80"/>
    <mergeCell ref="N81:O81"/>
    <mergeCell ref="P80:Q80"/>
    <mergeCell ref="B85:D85"/>
    <mergeCell ref="B86:D86"/>
    <mergeCell ref="L80:M80"/>
    <mergeCell ref="L81:M81"/>
    <mergeCell ref="B3:C3"/>
    <mergeCell ref="B4:C4"/>
    <mergeCell ref="B5:C5"/>
    <mergeCell ref="B6:C6"/>
    <mergeCell ref="B7:C7"/>
    <mergeCell ref="B8:C8"/>
    <mergeCell ref="P3:Q4"/>
    <mergeCell ref="P5:Q6"/>
    <mergeCell ref="P7:Q8"/>
    <mergeCell ref="I6:J6"/>
    <mergeCell ref="K6:N6"/>
    <mergeCell ref="X5:Y6"/>
    <mergeCell ref="X7:Y8"/>
    <mergeCell ref="Z3:AA3"/>
    <mergeCell ref="Z4:AA4"/>
    <mergeCell ref="Z5:AA5"/>
    <mergeCell ref="Z6:AA6"/>
    <mergeCell ref="Z7:AA7"/>
    <mergeCell ref="Z8:AA8"/>
    <mergeCell ref="R5:S6"/>
    <mergeCell ref="R7:S8"/>
    <mergeCell ref="T3:U3"/>
    <mergeCell ref="T4:U4"/>
    <mergeCell ref="T5:U5"/>
    <mergeCell ref="T6:U6"/>
    <mergeCell ref="T7:U7"/>
    <mergeCell ref="T8:U8"/>
    <mergeCell ref="V3:W4"/>
    <mergeCell ref="V5:W6"/>
    <mergeCell ref="V7:W8"/>
    <mergeCell ref="R3:S4"/>
    <mergeCell ref="AL24:AM24"/>
    <mergeCell ref="AN24:AQ24"/>
    <mergeCell ref="AJ25:AK25"/>
    <mergeCell ref="AL25:AM25"/>
    <mergeCell ref="AN25:AQ25"/>
    <mergeCell ref="AJ26:AK26"/>
    <mergeCell ref="AL26:AM26"/>
    <mergeCell ref="AN26:AQ26"/>
    <mergeCell ref="AJ27:AK27"/>
    <mergeCell ref="AL27:AM27"/>
    <mergeCell ref="AN27:AQ27"/>
    <mergeCell ref="AJ28:AK28"/>
    <mergeCell ref="AL28:AM28"/>
    <mergeCell ref="AN28:AQ28"/>
    <mergeCell ref="AJ29:AK29"/>
    <mergeCell ref="AL29:AM29"/>
    <mergeCell ref="AN29:AQ29"/>
    <mergeCell ref="AJ30:AK30"/>
    <mergeCell ref="AL30:AM30"/>
    <mergeCell ref="AN30:AQ30"/>
    <mergeCell ref="AJ31:AK31"/>
    <mergeCell ref="AL31:AM31"/>
    <mergeCell ref="AN31:AQ31"/>
    <mergeCell ref="AE29:AI29"/>
    <mergeCell ref="AE30:AI30"/>
    <mergeCell ref="AE31:AI31"/>
    <mergeCell ref="AE32:AI32"/>
    <mergeCell ref="AJ32:AK32"/>
    <mergeCell ref="AL32:AM32"/>
    <mergeCell ref="AN32:AQ32"/>
    <mergeCell ref="R41:W41"/>
    <mergeCell ref="X41:AA41"/>
    <mergeCell ref="B39:J39"/>
    <mergeCell ref="X40:AA40"/>
    <mergeCell ref="Q26:U26"/>
    <mergeCell ref="V26:W26"/>
    <mergeCell ref="X26:Y26"/>
    <mergeCell ref="Z26:AC26"/>
    <mergeCell ref="Q27:U27"/>
    <mergeCell ref="V27:W27"/>
    <mergeCell ref="X27:Y27"/>
    <mergeCell ref="Z27:AC27"/>
    <mergeCell ref="Q28:U28"/>
    <mergeCell ref="V28:W28"/>
    <mergeCell ref="X28:Y28"/>
    <mergeCell ref="Z28:AC28"/>
    <mergeCell ref="C27:G27"/>
    <mergeCell ref="H27:I27"/>
    <mergeCell ref="J27:K27"/>
    <mergeCell ref="L27:O27"/>
    <mergeCell ref="C28:G28"/>
    <mergeCell ref="H28:I28"/>
    <mergeCell ref="J28:K28"/>
    <mergeCell ref="L28:O28"/>
    <mergeCell ref="B84:I84"/>
    <mergeCell ref="J84:Q84"/>
    <mergeCell ref="E85:Q85"/>
    <mergeCell ref="H80:I80"/>
    <mergeCell ref="H81:I81"/>
    <mergeCell ref="B82:Q83"/>
    <mergeCell ref="AD79:AJ79"/>
    <mergeCell ref="AD82:AJ82"/>
    <mergeCell ref="AD81:AJ81"/>
    <mergeCell ref="AD80:AJ80"/>
    <mergeCell ref="P81:Q81"/>
    <mergeCell ref="S80:AB81"/>
    <mergeCell ref="S78:AB79"/>
    <mergeCell ref="B79:Q79"/>
    <mergeCell ref="AF4:AG4"/>
    <mergeCell ref="AF5:AG5"/>
    <mergeCell ref="AF6:AG6"/>
    <mergeCell ref="X3:Y4"/>
    <mergeCell ref="AF7:AG7"/>
    <mergeCell ref="AB44:AD44"/>
    <mergeCell ref="AF8:AG8"/>
    <mergeCell ref="AD83:AJ83"/>
    <mergeCell ref="S82:AB83"/>
    <mergeCell ref="S76:AB77"/>
    <mergeCell ref="S50:V51"/>
    <mergeCell ref="S52:V53"/>
    <mergeCell ref="S54:V55"/>
    <mergeCell ref="R44:W44"/>
    <mergeCell ref="B38:AH38"/>
    <mergeCell ref="B40:J40"/>
    <mergeCell ref="AB39:AD39"/>
    <mergeCell ref="AB40:AD40"/>
    <mergeCell ref="AB41:AD41"/>
    <mergeCell ref="K40:L40"/>
    <mergeCell ref="M40:N40"/>
    <mergeCell ref="O40:P40"/>
    <mergeCell ref="B42:J42"/>
    <mergeCell ref="K42:L42"/>
    <mergeCell ref="AD10:AE12"/>
    <mergeCell ref="AF10:AG12"/>
    <mergeCell ref="T10:V12"/>
    <mergeCell ref="B14:AQ14"/>
    <mergeCell ref="B2:N2"/>
    <mergeCell ref="D3:N3"/>
    <mergeCell ref="D4:N4"/>
    <mergeCell ref="D5:N5"/>
    <mergeCell ref="F12:G12"/>
    <mergeCell ref="I12:J12"/>
    <mergeCell ref="O12:P12"/>
    <mergeCell ref="R12:S12"/>
    <mergeCell ref="N10:P11"/>
    <mergeCell ref="Q10:S11"/>
    <mergeCell ref="K10:M12"/>
    <mergeCell ref="B10:D12"/>
    <mergeCell ref="P2:AG2"/>
    <mergeCell ref="AB3:AC4"/>
    <mergeCell ref="AB5:AC6"/>
    <mergeCell ref="AB7:AC8"/>
    <mergeCell ref="AD3:AE4"/>
    <mergeCell ref="AD5:AE6"/>
    <mergeCell ref="AD7:AE8"/>
    <mergeCell ref="AF3:AG3"/>
    <mergeCell ref="Q15:U15"/>
    <mergeCell ref="V15:W15"/>
    <mergeCell ref="L16:O16"/>
    <mergeCell ref="J16:K16"/>
    <mergeCell ref="H16:I16"/>
    <mergeCell ref="C16:G16"/>
    <mergeCell ref="AA10:AC12"/>
    <mergeCell ref="E10:G11"/>
    <mergeCell ref="H10:J11"/>
    <mergeCell ref="W10:X12"/>
    <mergeCell ref="Y10:Z12"/>
    <mergeCell ref="X15:Y15"/>
    <mergeCell ref="Z15:AC15"/>
    <mergeCell ref="Q16:U16"/>
    <mergeCell ref="V16:W16"/>
    <mergeCell ref="X16:Y16"/>
    <mergeCell ref="Z16:AC16"/>
    <mergeCell ref="C17:G17"/>
    <mergeCell ref="H17:I17"/>
    <mergeCell ref="J17:K17"/>
    <mergeCell ref="L17:O17"/>
    <mergeCell ref="D7:N7"/>
    <mergeCell ref="D8:N8"/>
    <mergeCell ref="AI2:AQ12"/>
    <mergeCell ref="D6:H6"/>
    <mergeCell ref="X39:AA39"/>
    <mergeCell ref="AE33:AI33"/>
    <mergeCell ref="AJ33:AK33"/>
    <mergeCell ref="AL33:AM33"/>
    <mergeCell ref="AN33:AQ33"/>
    <mergeCell ref="AE34:AI34"/>
    <mergeCell ref="AE25:AI25"/>
    <mergeCell ref="AE26:AI26"/>
    <mergeCell ref="AE27:AI27"/>
    <mergeCell ref="AE28:AI28"/>
    <mergeCell ref="AJ34:AK34"/>
    <mergeCell ref="AL34:AM34"/>
    <mergeCell ref="L15:O15"/>
    <mergeCell ref="J15:K15"/>
    <mergeCell ref="C15:G15"/>
    <mergeCell ref="H15:I15"/>
    <mergeCell ref="R40:W40"/>
    <mergeCell ref="R39:W39"/>
    <mergeCell ref="K39:P39"/>
    <mergeCell ref="S48:V49"/>
    <mergeCell ref="B50:Q53"/>
    <mergeCell ref="B47:Q47"/>
    <mergeCell ref="B49:C49"/>
    <mergeCell ref="K49:M49"/>
    <mergeCell ref="X42:AA42"/>
    <mergeCell ref="B43:J43"/>
    <mergeCell ref="K43:L43"/>
    <mergeCell ref="M43:N43"/>
    <mergeCell ref="O43:P43"/>
    <mergeCell ref="R43:W43"/>
    <mergeCell ref="X43:AA43"/>
    <mergeCell ref="M44:N44"/>
    <mergeCell ref="O44:P44"/>
    <mergeCell ref="M42:N42"/>
    <mergeCell ref="O42:P42"/>
    <mergeCell ref="R42:W42"/>
    <mergeCell ref="B41:J41"/>
    <mergeCell ref="K41:L41"/>
    <mergeCell ref="M41:N41"/>
    <mergeCell ref="O41:P41"/>
    <mergeCell ref="B57:Q57"/>
    <mergeCell ref="S56:V57"/>
    <mergeCell ref="S58:V59"/>
    <mergeCell ref="B63:Q63"/>
    <mergeCell ref="AD76:AJ76"/>
    <mergeCell ref="AD77:AJ77"/>
    <mergeCell ref="AK77:AQ77"/>
    <mergeCell ref="AB42:AD42"/>
    <mergeCell ref="AE42:AF42"/>
    <mergeCell ref="AE43:AF43"/>
    <mergeCell ref="N49:Q49"/>
    <mergeCell ref="D49:J49"/>
    <mergeCell ref="AB43:AD43"/>
    <mergeCell ref="B44:J44"/>
    <mergeCell ref="K44:L44"/>
    <mergeCell ref="B55:Q55"/>
    <mergeCell ref="B56:Q56"/>
    <mergeCell ref="B58:Q58"/>
    <mergeCell ref="B59:Q59"/>
    <mergeCell ref="B60:Q60"/>
    <mergeCell ref="B61:Q61"/>
    <mergeCell ref="B62:Q62"/>
    <mergeCell ref="X44:AA44"/>
    <mergeCell ref="AG44:AH44"/>
    <mergeCell ref="AD89:AJ89"/>
    <mergeCell ref="AK89:AQ89"/>
    <mergeCell ref="S47:AQ47"/>
    <mergeCell ref="W48:AQ49"/>
    <mergeCell ref="W50:AQ51"/>
    <mergeCell ref="W52:AQ53"/>
    <mergeCell ref="W54:AQ55"/>
    <mergeCell ref="W56:AQ57"/>
    <mergeCell ref="W58:AQ59"/>
    <mergeCell ref="W60:AQ61"/>
    <mergeCell ref="W62:AQ63"/>
    <mergeCell ref="S64:AQ73"/>
    <mergeCell ref="AD84:AJ84"/>
    <mergeCell ref="AK84:AQ84"/>
    <mergeCell ref="AD85:AJ85"/>
    <mergeCell ref="AK85:AQ85"/>
    <mergeCell ref="AD86:AJ86"/>
    <mergeCell ref="S60:V61"/>
    <mergeCell ref="S62:V63"/>
    <mergeCell ref="AK81:AQ81"/>
    <mergeCell ref="AK82:AQ82"/>
    <mergeCell ref="AK86:AQ86"/>
    <mergeCell ref="AD87:AJ87"/>
    <mergeCell ref="AK87:AQ87"/>
    <mergeCell ref="AD88:AJ88"/>
    <mergeCell ref="AK88:AQ88"/>
    <mergeCell ref="AD75:AQ75"/>
    <mergeCell ref="AK76:AQ76"/>
    <mergeCell ref="AD78:AJ78"/>
    <mergeCell ref="AK78:AQ78"/>
    <mergeCell ref="AK79:AQ79"/>
    <mergeCell ref="AK80:AQ80"/>
    <mergeCell ref="AK83:AQ83"/>
  </mergeCells>
  <phoneticPr fontId="2" type="noConversion"/>
  <conditionalFormatting sqref="AD37:AM37">
    <cfRule type="cellIs" dxfId="3" priority="12" operator="equal">
      <formula>"剩余职业点=0   剩余兴趣点=0"</formula>
    </cfRule>
  </conditionalFormatting>
  <conditionalFormatting sqref="B16:B36">
    <cfRule type="cellIs" dxfId="2" priority="9" operator="equal">
      <formula>"√"</formula>
    </cfRule>
  </conditionalFormatting>
  <conditionalFormatting sqref="E12 H12 N12 Q12">
    <cfRule type="cellIs" dxfId="1" priority="2" operator="equal">
      <formula>"√"</formula>
    </cfRule>
  </conditionalFormatting>
  <conditionalFormatting sqref="B16:B36 P16:P36 AD16:AD36">
    <cfRule type="cellIs" dxfId="0" priority="1" operator="equal">
      <formula>"√"</formula>
    </cfRule>
  </conditionalFormatting>
  <dataValidations xWindow="517" yWindow="581" count="6">
    <dataValidation allowBlank="1" showInputMessage="1" showErrorMessage="1" prompt="这是你立即可以取用、支配的现金。_x000a_包括带在身上的和存在银行的。" sqref="B49" xr:uid="{00000000-0002-0000-0000-00000C000000}"/>
    <dataValidation type="list" allowBlank="1" showInputMessage="1" showErrorMessage="1" sqref="Q40:Q44" xr:uid="{00000000-0002-0000-0000-00003C000000}">
      <formula1>"√,×"</formula1>
    </dataValidation>
    <dataValidation allowBlank="1" showInputMessage="1" sqref="AK16:AK36 Q16:Q36 AM16:AQ36 L16:L36 Z16:Z36 AE16:AE36 C16:C36" xr:uid="{203ACA81-BF20-4E3B-A77E-66ABCCBEEAFE}"/>
    <dataValidation type="whole" errorStyle="information" allowBlank="1" showInputMessage="1" showErrorMessage="1" errorTitle="年龄" error="只能输入整数，且范围应在15-89之间。" sqref="D6:H6" xr:uid="{F6CBBAE9-F1EB-438D-AF79-2852EE3858E6}">
      <formula1>15</formula1>
      <formula2>89</formula2>
    </dataValidation>
    <dataValidation type="list" allowBlank="1" showInputMessage="1" showErrorMessage="1" sqref="E12 H12 N12 Q12" xr:uid="{0CB6DAD2-F5CC-491E-8130-D9B140FA51F2}">
      <formula1>"☐,√"</formula1>
    </dataValidation>
    <dataValidation type="list" allowBlank="1" showInputMessage="1" sqref="B16:B36 P16:P36 AD16:AD36" xr:uid="{512D9B4A-FE0B-4357-A82C-4E0CF1665D1E}">
      <formula1>"☐,√"</formula1>
    </dataValidation>
  </dataValidations>
  <pageMargins left="0.25" right="0.25" top="0.75" bottom="0.75" header="0.3" footer="0.3"/>
  <pageSetup paperSize="9" scale="6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20"/>
  <sheetViews>
    <sheetView showGridLines="0" workbookViewId="0">
      <selection activeCell="H16" sqref="H16:L16"/>
    </sheetView>
  </sheetViews>
  <sheetFormatPr defaultColWidth="8.21875" defaultRowHeight="15.6" x14ac:dyDescent="0.25"/>
  <cols>
    <col min="1" max="1" width="8.21875" style="1"/>
    <col min="2" max="2" width="13" style="1" customWidth="1"/>
    <col min="3" max="10" width="8.21875" style="1"/>
    <col min="11" max="11" width="11.21875" style="1" bestFit="1" customWidth="1"/>
    <col min="12" max="16384" width="8.21875" style="1"/>
  </cols>
  <sheetData>
    <row r="1" spans="1:16" ht="16.2" thickBot="1" x14ac:dyDescent="0.3">
      <c r="A1" s="597"/>
      <c r="B1" s="597"/>
      <c r="C1" s="597"/>
      <c r="D1" s="597"/>
      <c r="E1" s="597"/>
      <c r="F1" s="597"/>
      <c r="G1" s="597"/>
      <c r="H1" s="597"/>
      <c r="I1" s="597"/>
      <c r="J1" s="597"/>
      <c r="K1" s="597"/>
      <c r="L1" s="597"/>
      <c r="M1" s="597"/>
      <c r="N1" s="597"/>
      <c r="O1" s="597"/>
      <c r="P1" s="597"/>
    </row>
    <row r="2" spans="1:16" s="2" customFormat="1" x14ac:dyDescent="0.25">
      <c r="B2" s="599" t="s">
        <v>442</v>
      </c>
      <c r="C2" s="600"/>
      <c r="E2" s="599" t="s">
        <v>10</v>
      </c>
      <c r="F2" s="600"/>
      <c r="H2" s="599" t="s">
        <v>15</v>
      </c>
      <c r="I2" s="600"/>
      <c r="K2" s="599" t="s">
        <v>72</v>
      </c>
      <c r="L2" s="600"/>
      <c r="N2" s="599" t="s">
        <v>705</v>
      </c>
      <c r="O2" s="600"/>
    </row>
    <row r="3" spans="1:16" x14ac:dyDescent="0.25">
      <c r="B3" s="12" t="s">
        <v>27</v>
      </c>
      <c r="C3" s="13" t="s">
        <v>28</v>
      </c>
      <c r="E3" s="12" t="s">
        <v>27</v>
      </c>
      <c r="F3" s="13" t="s">
        <v>28</v>
      </c>
      <c r="H3" s="12" t="s">
        <v>27</v>
      </c>
      <c r="I3" s="13" t="s">
        <v>28</v>
      </c>
      <c r="K3" s="12" t="s">
        <v>27</v>
      </c>
      <c r="L3" s="13" t="s">
        <v>28</v>
      </c>
      <c r="N3" s="12" t="s">
        <v>27</v>
      </c>
      <c r="O3" s="13" t="s">
        <v>28</v>
      </c>
    </row>
    <row r="4" spans="1:16" x14ac:dyDescent="0.25">
      <c r="B4" s="105" t="s">
        <v>16</v>
      </c>
      <c r="C4" s="109">
        <v>5</v>
      </c>
      <c r="E4" s="105" t="s">
        <v>18</v>
      </c>
      <c r="F4" s="109">
        <v>1</v>
      </c>
      <c r="H4" s="105" t="s">
        <v>283</v>
      </c>
      <c r="I4" s="109">
        <v>5</v>
      </c>
      <c r="K4" s="105" t="s">
        <v>341</v>
      </c>
      <c r="L4" s="109">
        <v>25</v>
      </c>
      <c r="N4" s="5" t="s">
        <v>445</v>
      </c>
      <c r="O4" s="6">
        <v>1</v>
      </c>
    </row>
    <row r="5" spans="1:16" x14ac:dyDescent="0.25">
      <c r="B5" s="106" t="s">
        <v>60</v>
      </c>
      <c r="C5" s="110">
        <v>5</v>
      </c>
      <c r="E5" s="106" t="s">
        <v>67</v>
      </c>
      <c r="F5" s="110">
        <v>1</v>
      </c>
      <c r="H5" s="106" t="s">
        <v>284</v>
      </c>
      <c r="I5" s="110">
        <v>10</v>
      </c>
      <c r="K5" s="106" t="s">
        <v>63</v>
      </c>
      <c r="L5" s="110">
        <v>15</v>
      </c>
      <c r="N5" s="3" t="s">
        <v>455</v>
      </c>
      <c r="O5" s="4">
        <v>1</v>
      </c>
    </row>
    <row r="6" spans="1:16" x14ac:dyDescent="0.25">
      <c r="B6" s="105" t="s">
        <v>17</v>
      </c>
      <c r="C6" s="109">
        <v>5</v>
      </c>
      <c r="E6" s="105" t="s">
        <v>61</v>
      </c>
      <c r="F6" s="109">
        <v>1</v>
      </c>
      <c r="H6" s="105" t="s">
        <v>74</v>
      </c>
      <c r="I6" s="109">
        <v>25</v>
      </c>
      <c r="K6" s="105" t="s">
        <v>340</v>
      </c>
      <c r="L6" s="109">
        <v>15</v>
      </c>
      <c r="N6" s="5" t="s">
        <v>422</v>
      </c>
      <c r="O6" s="6">
        <v>1</v>
      </c>
    </row>
    <row r="7" spans="1:16" x14ac:dyDescent="0.25">
      <c r="B7" s="106" t="s">
        <v>444</v>
      </c>
      <c r="C7" s="110">
        <v>5</v>
      </c>
      <c r="E7" s="106" t="s">
        <v>68</v>
      </c>
      <c r="F7" s="110">
        <v>10</v>
      </c>
      <c r="H7" s="106" t="s">
        <v>285</v>
      </c>
      <c r="I7" s="110">
        <v>15</v>
      </c>
      <c r="K7" s="106" t="s">
        <v>64</v>
      </c>
      <c r="L7" s="110">
        <v>10</v>
      </c>
      <c r="N7" s="3" t="s">
        <v>446</v>
      </c>
      <c r="O7" s="4">
        <v>1</v>
      </c>
    </row>
    <row r="8" spans="1:16" x14ac:dyDescent="0.25">
      <c r="B8" s="105" t="s">
        <v>431</v>
      </c>
      <c r="C8" s="109">
        <v>5</v>
      </c>
      <c r="E8" s="105" t="s">
        <v>62</v>
      </c>
      <c r="F8" s="109">
        <v>1</v>
      </c>
      <c r="H8" s="105" t="s">
        <v>30</v>
      </c>
      <c r="I8" s="109">
        <v>20</v>
      </c>
      <c r="K8" s="105" t="s">
        <v>458</v>
      </c>
      <c r="L8" s="109">
        <v>10</v>
      </c>
      <c r="N8" s="5" t="s">
        <v>447</v>
      </c>
      <c r="O8" s="6">
        <v>1</v>
      </c>
    </row>
    <row r="9" spans="1:16" ht="16.2" thickBot="1" x14ac:dyDescent="0.3">
      <c r="B9" s="106" t="s">
        <v>437</v>
      </c>
      <c r="C9" s="110">
        <v>5</v>
      </c>
      <c r="E9" s="106" t="s">
        <v>69</v>
      </c>
      <c r="F9" s="110">
        <v>1</v>
      </c>
      <c r="H9" s="106" t="s">
        <v>423</v>
      </c>
      <c r="I9" s="110">
        <v>15</v>
      </c>
      <c r="K9" s="106" t="s">
        <v>65</v>
      </c>
      <c r="L9" s="110">
        <v>20</v>
      </c>
      <c r="N9" s="7" t="s">
        <v>456</v>
      </c>
      <c r="O9" s="8">
        <v>5</v>
      </c>
    </row>
    <row r="10" spans="1:16" ht="16.2" thickBot="1" x14ac:dyDescent="0.3">
      <c r="B10" s="105" t="s">
        <v>420</v>
      </c>
      <c r="C10" s="109">
        <v>5</v>
      </c>
      <c r="E10" s="105" t="s">
        <v>425</v>
      </c>
      <c r="F10" s="109">
        <v>1</v>
      </c>
      <c r="H10" s="105" t="s">
        <v>75</v>
      </c>
      <c r="I10" s="109">
        <v>10</v>
      </c>
      <c r="K10" s="107" t="s">
        <v>66</v>
      </c>
      <c r="L10" s="111">
        <v>10</v>
      </c>
    </row>
    <row r="11" spans="1:16" ht="16.2" thickBot="1" x14ac:dyDescent="0.3">
      <c r="B11" s="106" t="s">
        <v>421</v>
      </c>
      <c r="C11" s="110">
        <v>5</v>
      </c>
      <c r="E11" s="106" t="s">
        <v>70</v>
      </c>
      <c r="F11" s="110">
        <v>1</v>
      </c>
      <c r="H11" s="108" t="s">
        <v>29</v>
      </c>
      <c r="I11" s="112">
        <v>20</v>
      </c>
    </row>
    <row r="12" spans="1:16" x14ac:dyDescent="0.25">
      <c r="B12" s="105" t="s">
        <v>432</v>
      </c>
      <c r="C12" s="109">
        <v>5</v>
      </c>
      <c r="E12" s="105" t="s">
        <v>19</v>
      </c>
      <c r="F12" s="109">
        <v>1</v>
      </c>
    </row>
    <row r="13" spans="1:16" x14ac:dyDescent="0.25">
      <c r="B13" s="106" t="s">
        <v>438</v>
      </c>
      <c r="C13" s="110">
        <v>5</v>
      </c>
      <c r="E13" s="106" t="s">
        <v>20</v>
      </c>
      <c r="F13" s="110">
        <v>1</v>
      </c>
    </row>
    <row r="14" spans="1:16" x14ac:dyDescent="0.25">
      <c r="B14" s="105" t="s">
        <v>433</v>
      </c>
      <c r="C14" s="109">
        <v>5</v>
      </c>
      <c r="E14" s="105" t="s">
        <v>21</v>
      </c>
      <c r="F14" s="109">
        <v>1</v>
      </c>
    </row>
    <row r="15" spans="1:16" x14ac:dyDescent="0.25">
      <c r="B15" s="106" t="s">
        <v>439</v>
      </c>
      <c r="C15" s="110">
        <v>5</v>
      </c>
      <c r="E15" s="106" t="s">
        <v>71</v>
      </c>
      <c r="F15" s="110">
        <v>1</v>
      </c>
      <c r="H15" s="597"/>
      <c r="I15" s="597"/>
      <c r="J15" s="597"/>
      <c r="K15" s="597"/>
      <c r="L15" s="597"/>
    </row>
    <row r="16" spans="1:16" ht="16.2" thickBot="1" x14ac:dyDescent="0.3">
      <c r="B16" s="105" t="s">
        <v>434</v>
      </c>
      <c r="C16" s="109">
        <v>5</v>
      </c>
      <c r="E16" s="107" t="s">
        <v>443</v>
      </c>
      <c r="F16" s="111">
        <v>1</v>
      </c>
      <c r="H16" s="598" t="s">
        <v>614</v>
      </c>
      <c r="I16" s="598"/>
      <c r="J16" s="598"/>
      <c r="K16" s="598"/>
      <c r="L16" s="598"/>
    </row>
    <row r="17" spans="2:3" x14ac:dyDescent="0.25">
      <c r="B17" s="106" t="s">
        <v>440</v>
      </c>
      <c r="C17" s="110">
        <v>5</v>
      </c>
    </row>
    <row r="18" spans="2:3" x14ac:dyDescent="0.25">
      <c r="B18" s="105" t="s">
        <v>435</v>
      </c>
      <c r="C18" s="109">
        <v>5</v>
      </c>
    </row>
    <row r="19" spans="2:3" x14ac:dyDescent="0.25">
      <c r="B19" s="106" t="s">
        <v>441</v>
      </c>
      <c r="C19" s="110">
        <v>5</v>
      </c>
    </row>
    <row r="20" spans="2:3" ht="16.2" thickBot="1" x14ac:dyDescent="0.3">
      <c r="B20" s="107" t="s">
        <v>436</v>
      </c>
      <c r="C20" s="111">
        <v>5</v>
      </c>
    </row>
  </sheetData>
  <sheetProtection algorithmName="SHA-512" hashValue="fZ9xKC8VH5h3GajcB4a1xfw4s7UdsX6EYrx4r6wdPCWa3FRYi12krinErUejLEkCS+0WLKwXAuY8h7/AAvAkxQ==" saltValue="RVZ7BAvPE4SDw0sDC9xAuA==" spinCount="100000" sheet="1" objects="1" scenarios="1"/>
  <sortState ref="N5:O9">
    <sortCondition ref="N4"/>
  </sortState>
  <mergeCells count="8">
    <mergeCell ref="H15:L15"/>
    <mergeCell ref="H16:L16"/>
    <mergeCell ref="A1:P1"/>
    <mergeCell ref="B2:C2"/>
    <mergeCell ref="E2:F2"/>
    <mergeCell ref="H2:I2"/>
    <mergeCell ref="K2:L2"/>
    <mergeCell ref="N2:O2"/>
  </mergeCells>
  <phoneticPr fontId="2" type="noConversion"/>
  <dataValidations xWindow="393" yWindow="389" count="38">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xr:uid="{00000000-0002-0000-0100-000000000000}"/>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5" xr:uid="{00000000-0002-0000-0100-000001000000}"/>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7" xr:uid="{00000000-0002-0000-0100-000002000000}"/>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6" xr:uid="{00000000-0002-0000-0100-000003000000}"/>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N7" xr:uid="{00000000-0002-0000-0100-000004000000}"/>
    <dataValidation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sqref="N4" xr:uid="{00000000-0002-0000-0100-000005000000}"/>
    <dataValidation allowBlank="1" showInputMessage="1" showErrorMessage="1" promptTitle="Diving (01%)" prompt="使用者接受过在深海游泳的使用以及维持潜水设备的训练，水下导航，合适的下潜配重，以及应对紧急情况的方法。" sqref="N8" xr:uid="{00000000-0002-0000-0100-000006000000}"/>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N5" xr:uid="{00000000-0002-0000-0100-000007000000}"/>
    <dataValidation allowBlank="1" showInputMessage="1" showErrorMessage="1" promptTitle="Read Lips (01%)" prompt="这个技能允许调查员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N6" xr:uid="{00000000-0002-0000-0100-000008000000}"/>
    <dataValidation allowBlank="1" showInputMessage="1" showErrorMessage="1" promptTitle="Animal Handling (05%)" prompt="命令以及训练已驯化动物去完成一些简单任务的技能。这个技能最常用于狗上，但也包括鸟、猫、猴子以及其他（取决于KP的判断）。至于对动物的骑乘，例如马或者骆驼，则要用骑术技能来进行行动以及操控这些坐骑。" sqref="N9" xr:uid="{00000000-0002-0000-0100-000009000000}"/>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xr:uid="{00000000-0002-0000-0100-00000A000000}"/>
    <dataValidation allowBlank="1" showInputMessage="1" showErrorMessage="1" promptTitle="Axe (15%)" prompt="使用长柄斧的技能。如果是短柄小斧则使用打架。如果拿来投掷，使用投掷技能。" sqref="H7" xr:uid="{00000000-0002-0000-0100-00000B000000}"/>
    <dataValidation allowBlank="1" showInputMessage="1" showErrorMessage="1" promptTitle="Chainsaw (10%)" prompt="即电锯_x000a_第一个量产的瓦斯动力的链锯于1927 年面世；早期也有各种版本存在。" sqref="H5" xr:uid="{00000000-0002-0000-0100-00000C000000}"/>
    <dataValidation allowBlank="1" showInputMessage="1" showErrorMessage="1" promptTitle="Flail (10%)" prompt="双节棍、流星锤和其他中世纪武器。" sqref="H10" xr:uid="{00000000-0002-0000-0100-00000D000000}"/>
    <dataValidation allowBlank="1" showInputMessage="1" showErrorMessage="1" promptTitle="Garrote (15%)" prompt="任意长度的用于锁喉的兵器。被锁喉者必须以战技（Fighting Maneuver ）逃脱，否则每回合会受到1D6伤害。" sqref="H9" xr:uid="{00000000-0002-0000-0100-00000E000000}"/>
    <dataValidation allowBlank="1" showInputMessage="1" showErrorMessage="1" promptTitle="Spear (20%)" prompt="长矛和鱼叉。如果拿来投掷，使用投掷技能。" sqref="H11" xr:uid="{00000000-0002-0000-0100-00000F000000}"/>
    <dataValidation allowBlank="1" showInputMessage="1" showErrorMessage="1" promptTitle="Sword (20%)" prompt="所有半米长以上的刃器。" sqref="H8" xr:uid="{00000000-0002-0000-0100-000010000000}"/>
    <dataValidation allowBlank="1" showInputMessage="1" showErrorMessage="1" promptTitle="Whip (05%)" prompt="套牛绳和鞭子。" sqref="H4" xr:uid="{00000000-0002-0000-0100-000011000000}"/>
    <dataValidation allowBlank="1" showInputMessage="1" showErrorMessage="1" promptTitle="Bow (15%)" prompt="用于弓、十字弓、中世纪长弓、强力合成弓。" sqref="K6" xr:uid="{00000000-0002-0000-0100-000012000000}"/>
    <dataValidation allowBlank="1" showInputMessage="1" showErrorMessage="1" promptTitle="Flamethrower (10%)" prompt="喷射可燃性液体或瓦斯的武器。可以由使用者带着或是安装在交通工具上。" sqref="K7" xr:uid="{00000000-0002-0000-0100-000013000000}"/>
    <dataValidation allowBlank="1" showInputMessage="1" showErrorMessage="1" promptTitle="Handgun (20%)" prompt="用来使用所有的类似于手枪的火器，当进行非连续的射击使用手枪技能。对于现代全自动手枪，当使用连射时，用冲锋枪的技能进行判定。" sqref="K9" xr:uid="{00000000-0002-0000-0100-000014000000}"/>
    <dataValidation allowBlank="1" showInputMessage="1" showErrorMessage="1" promptTitle="Heavy Weapons (10%)" prompt="用于榴弹发射器、反坦克火箭等。" sqref="K10" xr:uid="{00000000-0002-0000-0100-000015000000}"/>
    <dataValidation allowBlank="1" showInputMessage="1" showErrorMessage="1" promptTitle="Machine Gun (10%)" prompt="从安装在脚架上的武器进行连发射击的武器。只要是用单发射击，改用步枪技能。在现代，突击步枪、半机枪与轻型机枪的差异已经相当小。" sqref="K8" xr:uid="{00000000-0002-0000-0100-000016000000}"/>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xr:uid="{00000000-0002-0000-0100-000017000000}"/>
    <dataValidation allowBlank="1" showInputMessage="1" showErrorMessage="1" promptTitle="Submachine Gun (15%)" prompt="用于发射任何一把机械手枪或是半机枪；也包括使用连发的突击步枪。" sqref="K5" xr:uid="{00000000-0002-0000-0100-000018000000}"/>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xr:uid="{00000000-0002-0000-0100-000019000000}"/>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xr:uid="{00000000-0002-0000-0100-00001A000000}"/>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xr:uid="{00000000-0002-0000-0100-00001B000000}"/>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xr:uid="{00000000-0002-0000-0100-00001C000000}"/>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xr:uid="{00000000-0002-0000-0100-00001D000000}"/>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xr:uid="{00000000-0002-0000-0100-00001E000000}"/>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xr:uid="{00000000-0002-0000-0100-00001F000000}"/>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xr:uid="{00000000-0002-0000-0100-000020000000}"/>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xr:uid="{00000000-0002-0000-0100-000021000000}"/>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xr:uid="{00000000-0002-0000-0100-000022000000}"/>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xr:uid="{00000000-0002-0000-0100-000023000000}"/>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xr:uid="{00000000-0002-0000-0100-000024000000}"/>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xr:uid="{00000000-0002-0000-0100-000025000000}"/>
  </dataValidations>
  <hyperlinks>
    <hyperlink ref="H16:L16" location="建卡!O80" display="点击这里返回“建卡”标签。" xr:uid="{52A0CFA5-16FC-4E63-A01D-0D281EB68387}"/>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16"/>
  <sheetViews>
    <sheetView showGridLines="0" showRowColHeaders="0" zoomScaleNormal="100" workbookViewId="0">
      <pane ySplit="1" topLeftCell="A108" activePane="bottomLeft" state="frozen"/>
      <selection pane="bottomLeft" activeCell="B52" sqref="B52"/>
    </sheetView>
  </sheetViews>
  <sheetFormatPr defaultColWidth="9" defaultRowHeight="15.6" x14ac:dyDescent="0.25"/>
  <cols>
    <col min="1" max="1" width="9" style="66"/>
    <col min="2" max="2" width="22.44140625" style="76" customWidth="1"/>
    <col min="3" max="3" width="9" style="77"/>
    <col min="4" max="4" width="21.21875" style="78" customWidth="1"/>
    <col min="5" max="5" width="8.109375" style="66" customWidth="1"/>
    <col min="6" max="6" width="140" style="79" customWidth="1"/>
    <col min="7" max="16384" width="9" style="66"/>
  </cols>
  <sheetData>
    <row r="1" spans="1:6" x14ac:dyDescent="0.25">
      <c r="A1" s="61" t="s">
        <v>26</v>
      </c>
      <c r="B1" s="62" t="s">
        <v>2</v>
      </c>
      <c r="C1" s="63" t="s">
        <v>55</v>
      </c>
      <c r="D1" s="64" t="s">
        <v>104</v>
      </c>
      <c r="E1" s="62" t="s">
        <v>31</v>
      </c>
      <c r="F1" s="65" t="s">
        <v>25</v>
      </c>
    </row>
    <row r="2" spans="1:6" x14ac:dyDescent="0.25">
      <c r="A2" s="67">
        <v>0</v>
      </c>
      <c r="B2" s="104" t="s">
        <v>32</v>
      </c>
      <c r="C2" s="68" t="s">
        <v>79</v>
      </c>
      <c r="D2" s="80" t="s">
        <v>81</v>
      </c>
      <c r="E2" s="69">
        <f>LOOKUP(D2,附表!E26:E31,附表!F26:F31)</f>
        <v>300</v>
      </c>
      <c r="F2" s="70" t="s">
        <v>595</v>
      </c>
    </row>
    <row r="3" spans="1:6" x14ac:dyDescent="0.25">
      <c r="A3" s="71">
        <v>1</v>
      </c>
      <c r="B3" s="102" t="s">
        <v>78</v>
      </c>
      <c r="C3" s="72" t="s">
        <v>80</v>
      </c>
      <c r="D3" s="73" t="s">
        <v>279</v>
      </c>
      <c r="E3" s="72">
        <f>EDU*4</f>
        <v>300</v>
      </c>
      <c r="F3" s="74" t="s">
        <v>291</v>
      </c>
    </row>
    <row r="4" spans="1:6" x14ac:dyDescent="0.25">
      <c r="A4" s="67">
        <v>2</v>
      </c>
      <c r="B4" s="101" t="s">
        <v>130</v>
      </c>
      <c r="C4" s="68" t="s">
        <v>82</v>
      </c>
      <c r="D4" s="75" t="s">
        <v>277</v>
      </c>
      <c r="E4" s="69">
        <f>EDU*2+DEX*2</f>
        <v>290</v>
      </c>
      <c r="F4" s="70" t="s">
        <v>111</v>
      </c>
    </row>
    <row r="5" spans="1:6" x14ac:dyDescent="0.25">
      <c r="A5" s="71">
        <v>3</v>
      </c>
      <c r="B5" s="102" t="s">
        <v>85</v>
      </c>
      <c r="C5" s="72" t="s">
        <v>100</v>
      </c>
      <c r="D5" s="73" t="s">
        <v>84</v>
      </c>
      <c r="E5" s="72">
        <f>EDU*2+APP*2</f>
        <v>300</v>
      </c>
      <c r="F5" s="74" t="s">
        <v>617</v>
      </c>
    </row>
    <row r="6" spans="1:6" x14ac:dyDescent="0.25">
      <c r="A6" s="67">
        <v>4</v>
      </c>
      <c r="B6" s="101" t="s">
        <v>93</v>
      </c>
      <c r="C6" s="68" t="s">
        <v>131</v>
      </c>
      <c r="D6" s="75" t="s">
        <v>84</v>
      </c>
      <c r="E6" s="69">
        <f>EDU*2+APP*2</f>
        <v>300</v>
      </c>
      <c r="F6" s="70" t="s">
        <v>618</v>
      </c>
    </row>
    <row r="7" spans="1:6" ht="31.2" x14ac:dyDescent="0.25">
      <c r="A7" s="71">
        <v>5</v>
      </c>
      <c r="B7" s="102" t="s">
        <v>132</v>
      </c>
      <c r="C7" s="72" t="s">
        <v>133</v>
      </c>
      <c r="D7" s="73" t="s">
        <v>134</v>
      </c>
      <c r="E7" s="72">
        <f>EDU*2+MAX(STR,DEX)*2</f>
        <v>290</v>
      </c>
      <c r="F7" s="74" t="s">
        <v>86</v>
      </c>
    </row>
    <row r="8" spans="1:6" x14ac:dyDescent="0.25">
      <c r="A8" s="67">
        <v>6</v>
      </c>
      <c r="B8" s="101" t="s">
        <v>135</v>
      </c>
      <c r="C8" s="68" t="s">
        <v>136</v>
      </c>
      <c r="D8" s="75" t="s">
        <v>87</v>
      </c>
      <c r="E8" s="69">
        <f>EDU*4</f>
        <v>300</v>
      </c>
      <c r="F8" s="70" t="s">
        <v>94</v>
      </c>
    </row>
    <row r="9" spans="1:6" ht="31.2" x14ac:dyDescent="0.25">
      <c r="A9" s="71">
        <v>7</v>
      </c>
      <c r="B9" s="102" t="s">
        <v>137</v>
      </c>
      <c r="C9" s="72" t="s">
        <v>88</v>
      </c>
      <c r="D9" s="73" t="s">
        <v>696</v>
      </c>
      <c r="E9" s="72">
        <f>EDU*2+MAX(APP,POW)*2</f>
        <v>300</v>
      </c>
      <c r="F9" s="74" t="s">
        <v>619</v>
      </c>
    </row>
    <row r="10" spans="1:6" x14ac:dyDescent="0.25">
      <c r="A10" s="67">
        <v>8</v>
      </c>
      <c r="B10" s="101" t="s">
        <v>138</v>
      </c>
      <c r="C10" s="68" t="s">
        <v>80</v>
      </c>
      <c r="D10" s="75" t="s">
        <v>87</v>
      </c>
      <c r="E10" s="69">
        <f>EDU*4</f>
        <v>300</v>
      </c>
      <c r="F10" s="70" t="s">
        <v>620</v>
      </c>
    </row>
    <row r="11" spans="1:6" x14ac:dyDescent="0.25">
      <c r="A11" s="71">
        <v>9</v>
      </c>
      <c r="B11" s="102" t="s">
        <v>89</v>
      </c>
      <c r="C11" s="72" t="s">
        <v>112</v>
      </c>
      <c r="D11" s="73" t="s">
        <v>87</v>
      </c>
      <c r="E11" s="72">
        <f>EDU*4</f>
        <v>300</v>
      </c>
      <c r="F11" s="74" t="s">
        <v>621</v>
      </c>
    </row>
    <row r="12" spans="1:6" x14ac:dyDescent="0.25">
      <c r="A12" s="67">
        <v>10</v>
      </c>
      <c r="B12" s="101" t="s">
        <v>139</v>
      </c>
      <c r="C12" s="68" t="s">
        <v>88</v>
      </c>
      <c r="D12" s="75" t="s">
        <v>87</v>
      </c>
      <c r="E12" s="69">
        <f>EDU*4</f>
        <v>300</v>
      </c>
      <c r="F12" s="70" t="s">
        <v>95</v>
      </c>
    </row>
    <row r="13" spans="1:6" x14ac:dyDescent="0.25">
      <c r="A13" s="71">
        <v>11</v>
      </c>
      <c r="B13" s="102" t="s">
        <v>140</v>
      </c>
      <c r="C13" s="72" t="s">
        <v>80</v>
      </c>
      <c r="D13" s="73" t="s">
        <v>87</v>
      </c>
      <c r="E13" s="72">
        <f>EDU*4</f>
        <v>300</v>
      </c>
      <c r="F13" s="74" t="s">
        <v>622</v>
      </c>
    </row>
    <row r="14" spans="1:6" ht="31.2" x14ac:dyDescent="0.25">
      <c r="A14" s="67">
        <v>12</v>
      </c>
      <c r="B14" s="101" t="s">
        <v>289</v>
      </c>
      <c r="C14" s="68" t="s">
        <v>90</v>
      </c>
      <c r="D14" s="75" t="s">
        <v>695</v>
      </c>
      <c r="E14" s="69">
        <f>EDU*2+MAX(DEX,POW)*2</f>
        <v>290</v>
      </c>
      <c r="F14" s="70" t="s">
        <v>623</v>
      </c>
    </row>
    <row r="15" spans="1:6" ht="17.25" customHeight="1" x14ac:dyDescent="0.25">
      <c r="A15" s="71">
        <v>13</v>
      </c>
      <c r="B15" s="102" t="s">
        <v>91</v>
      </c>
      <c r="C15" s="72" t="s">
        <v>141</v>
      </c>
      <c r="D15" s="73" t="s">
        <v>693</v>
      </c>
      <c r="E15" s="72">
        <f>EDU*2+MAX(STR,DEX)*2</f>
        <v>290</v>
      </c>
      <c r="F15" s="74" t="s">
        <v>624</v>
      </c>
    </row>
    <row r="16" spans="1:6" ht="17.25" customHeight="1" x14ac:dyDescent="0.25">
      <c r="A16" s="67">
        <v>14</v>
      </c>
      <c r="B16" s="101" t="s">
        <v>22</v>
      </c>
      <c r="C16" s="68" t="s">
        <v>92</v>
      </c>
      <c r="D16" s="75" t="s">
        <v>693</v>
      </c>
      <c r="E16" s="69">
        <f>EDU*2+MAX(STR,DEX)*2</f>
        <v>290</v>
      </c>
      <c r="F16" s="70" t="s">
        <v>142</v>
      </c>
    </row>
    <row r="17" spans="1:6" ht="16.5" customHeight="1" x14ac:dyDescent="0.25">
      <c r="A17" s="71">
        <v>15</v>
      </c>
      <c r="B17" s="102" t="s">
        <v>143</v>
      </c>
      <c r="C17" s="72" t="s">
        <v>98</v>
      </c>
      <c r="D17" s="73" t="s">
        <v>87</v>
      </c>
      <c r="E17" s="72">
        <f>EDU*4</f>
        <v>300</v>
      </c>
      <c r="F17" s="74" t="s">
        <v>625</v>
      </c>
    </row>
    <row r="18" spans="1:6" x14ac:dyDescent="0.25">
      <c r="A18" s="67">
        <v>16</v>
      </c>
      <c r="B18" s="101" t="s">
        <v>96</v>
      </c>
      <c r="C18" s="68" t="s">
        <v>144</v>
      </c>
      <c r="D18" s="75" t="s">
        <v>84</v>
      </c>
      <c r="E18" s="69">
        <f>EDU*2+APP*2</f>
        <v>300</v>
      </c>
      <c r="F18" s="70" t="s">
        <v>145</v>
      </c>
    </row>
    <row r="19" spans="1:6" ht="16.5" customHeight="1" x14ac:dyDescent="0.25">
      <c r="A19" s="71">
        <v>17</v>
      </c>
      <c r="B19" s="102" t="s">
        <v>146</v>
      </c>
      <c r="C19" s="72" t="s">
        <v>147</v>
      </c>
      <c r="D19" s="73" t="s">
        <v>693</v>
      </c>
      <c r="E19" s="72">
        <f>EDU*2+MAX(STR,DEX)*2</f>
        <v>290</v>
      </c>
      <c r="F19" s="74" t="s">
        <v>626</v>
      </c>
    </row>
    <row r="20" spans="1:6" ht="16.5" customHeight="1" x14ac:dyDescent="0.25">
      <c r="A20" s="67">
        <v>18</v>
      </c>
      <c r="B20" s="101" t="s">
        <v>23</v>
      </c>
      <c r="C20" s="68" t="s">
        <v>148</v>
      </c>
      <c r="D20" s="75" t="s">
        <v>87</v>
      </c>
      <c r="E20" s="69">
        <f>EDU*4</f>
        <v>300</v>
      </c>
      <c r="F20" s="70" t="s">
        <v>97</v>
      </c>
    </row>
    <row r="21" spans="1:6" ht="31.2" x14ac:dyDescent="0.25">
      <c r="A21" s="71">
        <v>19</v>
      </c>
      <c r="B21" s="102" t="s">
        <v>24</v>
      </c>
      <c r="C21" s="72" t="s">
        <v>98</v>
      </c>
      <c r="D21" s="73" t="s">
        <v>693</v>
      </c>
      <c r="E21" s="72">
        <f>EDU*2+MAX(STR,DEX)*2</f>
        <v>290</v>
      </c>
      <c r="F21" s="74" t="s">
        <v>627</v>
      </c>
    </row>
    <row r="22" spans="1:6" ht="16.5" customHeight="1" x14ac:dyDescent="0.25">
      <c r="A22" s="67">
        <v>20</v>
      </c>
      <c r="B22" s="101" t="s">
        <v>149</v>
      </c>
      <c r="C22" s="68" t="s">
        <v>101</v>
      </c>
      <c r="D22" s="75" t="s">
        <v>99</v>
      </c>
      <c r="E22" s="69">
        <f>EDU*2+STR*2</f>
        <v>260</v>
      </c>
      <c r="F22" s="70" t="s">
        <v>150</v>
      </c>
    </row>
    <row r="23" spans="1:6" ht="16.5" customHeight="1" x14ac:dyDescent="0.25">
      <c r="A23" s="71">
        <v>21</v>
      </c>
      <c r="B23" s="102" t="s">
        <v>151</v>
      </c>
      <c r="C23" s="72" t="s">
        <v>100</v>
      </c>
      <c r="D23" s="73" t="s">
        <v>87</v>
      </c>
      <c r="E23" s="72">
        <f>EDU*4</f>
        <v>300</v>
      </c>
      <c r="F23" s="74" t="s">
        <v>628</v>
      </c>
    </row>
    <row r="24" spans="1:6" x14ac:dyDescent="0.25">
      <c r="A24" s="67">
        <v>22</v>
      </c>
      <c r="B24" s="101" t="s">
        <v>152</v>
      </c>
      <c r="C24" s="68" t="s">
        <v>101</v>
      </c>
      <c r="D24" s="75" t="s">
        <v>87</v>
      </c>
      <c r="E24" s="69">
        <f>EDU*4</f>
        <v>300</v>
      </c>
      <c r="F24" s="70" t="s">
        <v>113</v>
      </c>
    </row>
    <row r="25" spans="1:6" x14ac:dyDescent="0.25">
      <c r="A25" s="71">
        <v>23</v>
      </c>
      <c r="B25" s="102" t="s">
        <v>102</v>
      </c>
      <c r="C25" s="72" t="s">
        <v>114</v>
      </c>
      <c r="D25" s="73" t="s">
        <v>87</v>
      </c>
      <c r="E25" s="72">
        <f>EDU*4</f>
        <v>300</v>
      </c>
      <c r="F25" s="74" t="s">
        <v>629</v>
      </c>
    </row>
    <row r="26" spans="1:6" x14ac:dyDescent="0.25">
      <c r="A26" s="67">
        <v>24</v>
      </c>
      <c r="B26" s="101" t="s">
        <v>153</v>
      </c>
      <c r="C26" s="68" t="s">
        <v>114</v>
      </c>
      <c r="D26" s="75" t="s">
        <v>87</v>
      </c>
      <c r="E26" s="69">
        <f>EDU*4</f>
        <v>300</v>
      </c>
      <c r="F26" s="70" t="s">
        <v>630</v>
      </c>
    </row>
    <row r="27" spans="1:6" ht="31.2" x14ac:dyDescent="0.25">
      <c r="A27" s="71">
        <v>25</v>
      </c>
      <c r="B27" s="102" t="s">
        <v>56</v>
      </c>
      <c r="C27" s="72" t="s">
        <v>82</v>
      </c>
      <c r="D27" s="73" t="s">
        <v>693</v>
      </c>
      <c r="E27" s="72">
        <f>EDU*2+MAX(STR,DEX)*2</f>
        <v>290</v>
      </c>
      <c r="F27" s="74" t="s">
        <v>631</v>
      </c>
    </row>
    <row r="28" spans="1:6" ht="17.25" customHeight="1" x14ac:dyDescent="0.25">
      <c r="A28" s="67">
        <v>26</v>
      </c>
      <c r="B28" s="101" t="s">
        <v>154</v>
      </c>
      <c r="C28" s="68" t="s">
        <v>88</v>
      </c>
      <c r="D28" s="75" t="s">
        <v>103</v>
      </c>
      <c r="E28" s="69">
        <f>EDU*2+DEX*2</f>
        <v>290</v>
      </c>
      <c r="F28" s="70" t="s">
        <v>632</v>
      </c>
    </row>
    <row r="29" spans="1:6" ht="16.5" customHeight="1" x14ac:dyDescent="0.25">
      <c r="A29" s="71">
        <v>27</v>
      </c>
      <c r="B29" s="102" t="s">
        <v>155</v>
      </c>
      <c r="C29" s="72" t="s">
        <v>110</v>
      </c>
      <c r="D29" s="73" t="s">
        <v>693</v>
      </c>
      <c r="E29" s="72">
        <f>EDU*2+MAX(STR,DEX)*2</f>
        <v>290</v>
      </c>
      <c r="F29" s="74" t="s">
        <v>633</v>
      </c>
    </row>
    <row r="30" spans="1:6" ht="17.25" customHeight="1" x14ac:dyDescent="0.25">
      <c r="A30" s="67">
        <v>28</v>
      </c>
      <c r="B30" s="101" t="s">
        <v>105</v>
      </c>
      <c r="C30" s="68" t="s">
        <v>156</v>
      </c>
      <c r="D30" s="75" t="s">
        <v>693</v>
      </c>
      <c r="E30" s="69">
        <f>EDU*2+MAX(STR,DEX)*2</f>
        <v>290</v>
      </c>
      <c r="F30" s="70" t="s">
        <v>634</v>
      </c>
    </row>
    <row r="31" spans="1:6" ht="17.25" customHeight="1" x14ac:dyDescent="0.25">
      <c r="A31" s="71">
        <v>29</v>
      </c>
      <c r="B31" s="102" t="s">
        <v>157</v>
      </c>
      <c r="C31" s="72" t="s">
        <v>115</v>
      </c>
      <c r="D31" s="73" t="s">
        <v>278</v>
      </c>
      <c r="E31" s="72">
        <f>EDU*2+STR*2</f>
        <v>260</v>
      </c>
      <c r="F31" s="74" t="s">
        <v>635</v>
      </c>
    </row>
    <row r="32" spans="1:6" ht="17.25" customHeight="1" x14ac:dyDescent="0.25">
      <c r="A32" s="67">
        <v>30</v>
      </c>
      <c r="B32" s="101" t="s">
        <v>158</v>
      </c>
      <c r="C32" s="68" t="s">
        <v>159</v>
      </c>
      <c r="D32" s="75" t="s">
        <v>277</v>
      </c>
      <c r="E32" s="69">
        <f>EDU*2+DEX*2</f>
        <v>290</v>
      </c>
      <c r="F32" s="70" t="s">
        <v>636</v>
      </c>
    </row>
    <row r="33" spans="1:6" ht="17.25" customHeight="1" x14ac:dyDescent="0.25">
      <c r="A33" s="71">
        <v>31</v>
      </c>
      <c r="B33" s="102" t="s">
        <v>106</v>
      </c>
      <c r="C33" s="72" t="s">
        <v>160</v>
      </c>
      <c r="D33" s="73" t="s">
        <v>276</v>
      </c>
      <c r="E33" s="72">
        <f>EDU*2+APP*2</f>
        <v>300</v>
      </c>
      <c r="F33" s="74" t="s">
        <v>637</v>
      </c>
    </row>
    <row r="34" spans="1:6" ht="17.25" customHeight="1" x14ac:dyDescent="0.25">
      <c r="A34" s="67">
        <v>32</v>
      </c>
      <c r="B34" s="101" t="s">
        <v>161</v>
      </c>
      <c r="C34" s="68" t="s">
        <v>162</v>
      </c>
      <c r="D34" s="75" t="s">
        <v>694</v>
      </c>
      <c r="E34" s="69">
        <f>EDU*2+MAX(DEX,APP)*2</f>
        <v>300</v>
      </c>
      <c r="F34" s="70" t="s">
        <v>638</v>
      </c>
    </row>
    <row r="35" spans="1:6" ht="17.25" customHeight="1" x14ac:dyDescent="0.25">
      <c r="A35" s="71">
        <v>33</v>
      </c>
      <c r="B35" s="102" t="s">
        <v>163</v>
      </c>
      <c r="C35" s="72" t="s">
        <v>164</v>
      </c>
      <c r="D35" s="73" t="s">
        <v>276</v>
      </c>
      <c r="E35" s="72">
        <f>EDU*2+APP*2</f>
        <v>300</v>
      </c>
      <c r="F35" s="74" t="s">
        <v>639</v>
      </c>
    </row>
    <row r="36" spans="1:6" ht="17.25" customHeight="1" x14ac:dyDescent="0.25">
      <c r="A36" s="67">
        <v>34</v>
      </c>
      <c r="B36" s="101" t="s">
        <v>165</v>
      </c>
      <c r="C36" s="68" t="s">
        <v>148</v>
      </c>
      <c r="D36" s="75" t="s">
        <v>276</v>
      </c>
      <c r="E36" s="69">
        <f>EDU*2+APP*2</f>
        <v>300</v>
      </c>
      <c r="F36" s="70" t="s">
        <v>640</v>
      </c>
    </row>
    <row r="37" spans="1:6" ht="17.25" customHeight="1" x14ac:dyDescent="0.25">
      <c r="A37" s="71">
        <v>35</v>
      </c>
      <c r="B37" s="102" t="s">
        <v>282</v>
      </c>
      <c r="C37" s="72" t="s">
        <v>109</v>
      </c>
      <c r="D37" s="73" t="s">
        <v>87</v>
      </c>
      <c r="E37" s="72">
        <f>EDU*4</f>
        <v>300</v>
      </c>
      <c r="F37" s="74" t="s">
        <v>641</v>
      </c>
    </row>
    <row r="38" spans="1:6" ht="31.2" x14ac:dyDescent="0.25">
      <c r="A38" s="67">
        <v>36</v>
      </c>
      <c r="B38" s="101" t="s">
        <v>166</v>
      </c>
      <c r="C38" s="68" t="s">
        <v>109</v>
      </c>
      <c r="D38" s="75" t="s">
        <v>694</v>
      </c>
      <c r="E38" s="69">
        <f>EDU*2+MAX(DEX,APP)*2</f>
        <v>300</v>
      </c>
      <c r="F38" s="70" t="s">
        <v>167</v>
      </c>
    </row>
    <row r="39" spans="1:6" ht="17.25" customHeight="1" x14ac:dyDescent="0.25">
      <c r="A39" s="71">
        <v>37</v>
      </c>
      <c r="B39" s="102" t="s">
        <v>107</v>
      </c>
      <c r="C39" s="72" t="s">
        <v>108</v>
      </c>
      <c r="D39" s="73" t="s">
        <v>693</v>
      </c>
      <c r="E39" s="72">
        <f>EDU*2+MAX(STR,DEX)*2</f>
        <v>290</v>
      </c>
      <c r="F39" s="74" t="s">
        <v>642</v>
      </c>
    </row>
    <row r="40" spans="1:6" ht="17.25" customHeight="1" x14ac:dyDescent="0.25">
      <c r="A40" s="67">
        <v>38</v>
      </c>
      <c r="B40" s="101" t="s">
        <v>168</v>
      </c>
      <c r="C40" s="68" t="s">
        <v>110</v>
      </c>
      <c r="D40" s="75" t="s">
        <v>87</v>
      </c>
      <c r="E40" s="69">
        <f>EDU*4</f>
        <v>300</v>
      </c>
      <c r="F40" s="70" t="s">
        <v>169</v>
      </c>
    </row>
    <row r="41" spans="1:6" x14ac:dyDescent="0.25">
      <c r="A41" s="71">
        <v>39</v>
      </c>
      <c r="B41" s="102" t="s">
        <v>170</v>
      </c>
      <c r="C41" s="72" t="s">
        <v>147</v>
      </c>
      <c r="D41" s="73" t="s">
        <v>87</v>
      </c>
      <c r="E41" s="72">
        <f>EDU*4</f>
        <v>300</v>
      </c>
      <c r="F41" s="74" t="s">
        <v>116</v>
      </c>
    </row>
    <row r="42" spans="1:6" x14ac:dyDescent="0.25">
      <c r="A42" s="67">
        <v>40</v>
      </c>
      <c r="B42" s="101" t="s">
        <v>171</v>
      </c>
      <c r="C42" s="68" t="s">
        <v>109</v>
      </c>
      <c r="D42" s="75" t="s">
        <v>87</v>
      </c>
      <c r="E42" s="69">
        <f>EDU*4</f>
        <v>300</v>
      </c>
      <c r="F42" s="70" t="s">
        <v>643</v>
      </c>
    </row>
    <row r="43" spans="1:6" x14ac:dyDescent="0.25">
      <c r="A43" s="71">
        <v>41</v>
      </c>
      <c r="B43" s="102" t="s">
        <v>334</v>
      </c>
      <c r="C43" s="72" t="s">
        <v>172</v>
      </c>
      <c r="D43" s="73" t="s">
        <v>84</v>
      </c>
      <c r="E43" s="72">
        <f>EDU*2+APP*2</f>
        <v>300</v>
      </c>
      <c r="F43" s="74" t="s">
        <v>644</v>
      </c>
    </row>
    <row r="44" spans="1:6" ht="17.25" customHeight="1" x14ac:dyDescent="0.25">
      <c r="A44" s="67">
        <v>42</v>
      </c>
      <c r="B44" s="101" t="s">
        <v>173</v>
      </c>
      <c r="C44" s="68" t="s">
        <v>98</v>
      </c>
      <c r="D44" s="75" t="s">
        <v>277</v>
      </c>
      <c r="E44" s="69">
        <f>EDU*2+DEX*2</f>
        <v>290</v>
      </c>
      <c r="F44" s="70" t="s">
        <v>174</v>
      </c>
    </row>
    <row r="45" spans="1:6" ht="17.25" customHeight="1" x14ac:dyDescent="0.25">
      <c r="A45" s="71">
        <v>43</v>
      </c>
      <c r="B45" s="102" t="s">
        <v>175</v>
      </c>
      <c r="C45" s="72" t="s">
        <v>117</v>
      </c>
      <c r="D45" s="73" t="s">
        <v>87</v>
      </c>
      <c r="E45" s="72">
        <f>EDU*4</f>
        <v>300</v>
      </c>
      <c r="F45" s="74" t="s">
        <v>645</v>
      </c>
    </row>
    <row r="46" spans="1:6" ht="31.2" x14ac:dyDescent="0.25">
      <c r="A46" s="67">
        <v>44</v>
      </c>
      <c r="B46" s="101" t="s">
        <v>176</v>
      </c>
      <c r="C46" s="68" t="s">
        <v>126</v>
      </c>
      <c r="D46" s="75" t="s">
        <v>118</v>
      </c>
      <c r="E46" s="69">
        <f>MAX(APP,DEX,STR)*2+EDU*2</f>
        <v>300</v>
      </c>
      <c r="F46" s="70" t="s">
        <v>177</v>
      </c>
    </row>
    <row r="47" spans="1:6" ht="33" customHeight="1" x14ac:dyDescent="0.25">
      <c r="A47" s="71">
        <v>45</v>
      </c>
      <c r="B47" s="102" t="s">
        <v>119</v>
      </c>
      <c r="C47" s="72" t="s">
        <v>88</v>
      </c>
      <c r="D47" s="73" t="s">
        <v>277</v>
      </c>
      <c r="E47" s="72">
        <f>EDU*2+DEX*2</f>
        <v>290</v>
      </c>
      <c r="F47" s="74" t="s">
        <v>646</v>
      </c>
    </row>
    <row r="48" spans="1:6" ht="17.25" customHeight="1" x14ac:dyDescent="0.25">
      <c r="A48" s="67">
        <v>46</v>
      </c>
      <c r="B48" s="101" t="s">
        <v>120</v>
      </c>
      <c r="C48" s="68" t="s">
        <v>82</v>
      </c>
      <c r="D48" s="75" t="s">
        <v>693</v>
      </c>
      <c r="E48" s="69">
        <f>EDU*2+MAX(STR,DEX)*2</f>
        <v>290</v>
      </c>
      <c r="F48" s="70" t="s">
        <v>178</v>
      </c>
    </row>
    <row r="49" spans="1:6" ht="17.25" customHeight="1" x14ac:dyDescent="0.25">
      <c r="A49" s="71">
        <v>47</v>
      </c>
      <c r="B49" s="102" t="s">
        <v>179</v>
      </c>
      <c r="C49" s="72" t="s">
        <v>98</v>
      </c>
      <c r="D49" s="73" t="s">
        <v>277</v>
      </c>
      <c r="E49" s="72">
        <f>EDU*2+DEX*2</f>
        <v>290</v>
      </c>
      <c r="F49" s="74" t="s">
        <v>647</v>
      </c>
    </row>
    <row r="50" spans="1:6" ht="17.25" customHeight="1" x14ac:dyDescent="0.25">
      <c r="A50" s="67">
        <v>48</v>
      </c>
      <c r="B50" s="101" t="s">
        <v>180</v>
      </c>
      <c r="C50" s="68" t="s">
        <v>181</v>
      </c>
      <c r="D50" s="75" t="s">
        <v>87</v>
      </c>
      <c r="E50" s="69">
        <f>EDU*4</f>
        <v>300</v>
      </c>
      <c r="F50" s="70" t="s">
        <v>182</v>
      </c>
    </row>
    <row r="51" spans="1:6" x14ac:dyDescent="0.25">
      <c r="A51" s="71">
        <v>49</v>
      </c>
      <c r="B51" s="102" t="s">
        <v>183</v>
      </c>
      <c r="C51" s="72" t="s">
        <v>121</v>
      </c>
      <c r="D51" s="73" t="s">
        <v>276</v>
      </c>
      <c r="E51" s="72">
        <f>EDU*2+APP*2</f>
        <v>300</v>
      </c>
      <c r="F51" s="74" t="s">
        <v>648</v>
      </c>
    </row>
    <row r="52" spans="1:6" ht="17.25" customHeight="1" x14ac:dyDescent="0.25">
      <c r="A52" s="67">
        <v>50</v>
      </c>
      <c r="B52" s="101" t="s">
        <v>57</v>
      </c>
      <c r="C52" s="68" t="s">
        <v>110</v>
      </c>
      <c r="D52" s="75" t="s">
        <v>87</v>
      </c>
      <c r="E52" s="69">
        <f>EDU*4</f>
        <v>300</v>
      </c>
      <c r="F52" s="70" t="s">
        <v>649</v>
      </c>
    </row>
    <row r="53" spans="1:6" x14ac:dyDescent="0.25">
      <c r="A53" s="71">
        <v>51</v>
      </c>
      <c r="B53" s="102" t="s">
        <v>184</v>
      </c>
      <c r="C53" s="72" t="s">
        <v>92</v>
      </c>
      <c r="D53" s="73" t="s">
        <v>84</v>
      </c>
      <c r="E53" s="72">
        <f>EDU*2+APP*2</f>
        <v>300</v>
      </c>
      <c r="F53" s="74" t="s">
        <v>650</v>
      </c>
    </row>
    <row r="54" spans="1:6" ht="16.5" customHeight="1" x14ac:dyDescent="0.25">
      <c r="A54" s="67">
        <v>52</v>
      </c>
      <c r="B54" s="101" t="s">
        <v>185</v>
      </c>
      <c r="C54" s="68" t="s">
        <v>186</v>
      </c>
      <c r="D54" s="75" t="s">
        <v>118</v>
      </c>
      <c r="E54" s="69">
        <f>MAX(APP,DEX,STR)*2+EDU*2</f>
        <v>300</v>
      </c>
      <c r="F54" s="70" t="s">
        <v>651</v>
      </c>
    </row>
    <row r="55" spans="1:6" ht="33" customHeight="1" x14ac:dyDescent="0.25">
      <c r="A55" s="71">
        <v>53</v>
      </c>
      <c r="B55" s="102" t="s">
        <v>187</v>
      </c>
      <c r="C55" s="72" t="s">
        <v>98</v>
      </c>
      <c r="D55" s="73" t="s">
        <v>693</v>
      </c>
      <c r="E55" s="72">
        <f>EDU*2+MAX(STR,DEX)*2</f>
        <v>290</v>
      </c>
      <c r="F55" s="74" t="s">
        <v>652</v>
      </c>
    </row>
    <row r="56" spans="1:6" ht="16.5" customHeight="1" x14ac:dyDescent="0.25">
      <c r="A56" s="67">
        <v>54</v>
      </c>
      <c r="B56" s="101" t="s">
        <v>188</v>
      </c>
      <c r="C56" s="68" t="s">
        <v>148</v>
      </c>
      <c r="D56" s="75" t="s">
        <v>87</v>
      </c>
      <c r="E56" s="69">
        <f>EDU*4</f>
        <v>300</v>
      </c>
      <c r="F56" s="70" t="s">
        <v>189</v>
      </c>
    </row>
    <row r="57" spans="1:6" ht="31.2" x14ac:dyDescent="0.25">
      <c r="A57" s="71">
        <v>55</v>
      </c>
      <c r="B57" s="102" t="s">
        <v>122</v>
      </c>
      <c r="C57" s="72" t="s">
        <v>98</v>
      </c>
      <c r="D57" s="73" t="s">
        <v>693</v>
      </c>
      <c r="E57" s="72">
        <f>EDU*2+MAX(STR,DEX)*2</f>
        <v>290</v>
      </c>
      <c r="F57" s="74" t="s">
        <v>123</v>
      </c>
    </row>
    <row r="58" spans="1:6" ht="16.5" customHeight="1" x14ac:dyDescent="0.25">
      <c r="A58" s="67">
        <v>56</v>
      </c>
      <c r="B58" s="101" t="s">
        <v>190</v>
      </c>
      <c r="C58" s="68" t="s">
        <v>88</v>
      </c>
      <c r="D58" s="75" t="s">
        <v>87</v>
      </c>
      <c r="E58" s="69">
        <f>EDU*4</f>
        <v>300</v>
      </c>
      <c r="F58" s="70" t="s">
        <v>191</v>
      </c>
    </row>
    <row r="59" spans="1:6" x14ac:dyDescent="0.25">
      <c r="A59" s="71">
        <v>57</v>
      </c>
      <c r="B59" s="102" t="s">
        <v>58</v>
      </c>
      <c r="C59" s="72" t="s">
        <v>192</v>
      </c>
      <c r="D59" s="73" t="s">
        <v>87</v>
      </c>
      <c r="E59" s="72">
        <f>EDU*4</f>
        <v>300</v>
      </c>
      <c r="F59" s="74" t="s">
        <v>653</v>
      </c>
    </row>
    <row r="60" spans="1:6" ht="31.2" x14ac:dyDescent="0.25">
      <c r="A60" s="67">
        <v>58</v>
      </c>
      <c r="B60" s="101" t="s">
        <v>59</v>
      </c>
      <c r="C60" s="68" t="s">
        <v>193</v>
      </c>
      <c r="D60" s="75" t="s">
        <v>694</v>
      </c>
      <c r="E60" s="69">
        <f>EDU*2+MAX(DEX,APP)*2</f>
        <v>300</v>
      </c>
      <c r="F60" s="70" t="s">
        <v>654</v>
      </c>
    </row>
    <row r="61" spans="1:6" x14ac:dyDescent="0.25">
      <c r="A61" s="71">
        <v>59</v>
      </c>
      <c r="B61" s="102" t="s">
        <v>124</v>
      </c>
      <c r="C61" s="72" t="s">
        <v>194</v>
      </c>
      <c r="D61" s="73" t="s">
        <v>84</v>
      </c>
      <c r="E61" s="72">
        <f>EDU*2+APP*2</f>
        <v>300</v>
      </c>
      <c r="F61" s="74" t="s">
        <v>655</v>
      </c>
    </row>
    <row r="62" spans="1:6" ht="31.2" x14ac:dyDescent="0.25">
      <c r="A62" s="67">
        <v>60</v>
      </c>
      <c r="B62" s="101" t="s">
        <v>125</v>
      </c>
      <c r="C62" s="68" t="s">
        <v>82</v>
      </c>
      <c r="D62" s="75" t="s">
        <v>693</v>
      </c>
      <c r="E62" s="69">
        <f>EDU*2+MAX(STR,DEX)*2</f>
        <v>290</v>
      </c>
      <c r="F62" s="70" t="s">
        <v>195</v>
      </c>
    </row>
    <row r="63" spans="1:6" x14ac:dyDescent="0.25">
      <c r="A63" s="71">
        <v>61</v>
      </c>
      <c r="B63" s="102" t="s">
        <v>196</v>
      </c>
      <c r="C63" s="72" t="s">
        <v>197</v>
      </c>
      <c r="D63" s="73" t="s">
        <v>276</v>
      </c>
      <c r="E63" s="72">
        <f>EDU*2+APP*2</f>
        <v>300</v>
      </c>
      <c r="F63" s="74" t="s">
        <v>656</v>
      </c>
    </row>
    <row r="64" spans="1:6" ht="31.2" x14ac:dyDescent="0.25">
      <c r="A64" s="67">
        <v>62</v>
      </c>
      <c r="B64" s="101" t="s">
        <v>127</v>
      </c>
      <c r="C64" s="68" t="s">
        <v>126</v>
      </c>
      <c r="D64" s="75" t="s">
        <v>694</v>
      </c>
      <c r="E64" s="69">
        <f>EDU*2+MAX(DEX,APP)*2</f>
        <v>300</v>
      </c>
      <c r="F64" s="70" t="s">
        <v>657</v>
      </c>
    </row>
    <row r="65" spans="1:6" x14ac:dyDescent="0.25">
      <c r="A65" s="71">
        <v>63</v>
      </c>
      <c r="B65" s="102" t="s">
        <v>198</v>
      </c>
      <c r="C65" s="72" t="s">
        <v>199</v>
      </c>
      <c r="D65" s="73" t="s">
        <v>278</v>
      </c>
      <c r="E65" s="72">
        <f>EDU*2+STR*2</f>
        <v>260</v>
      </c>
      <c r="F65" s="74" t="s">
        <v>658</v>
      </c>
    </row>
    <row r="66" spans="1:6" x14ac:dyDescent="0.25">
      <c r="A66" s="67">
        <v>64</v>
      </c>
      <c r="B66" s="101" t="s">
        <v>128</v>
      </c>
      <c r="C66" s="68" t="s">
        <v>98</v>
      </c>
      <c r="D66" s="75" t="s">
        <v>87</v>
      </c>
      <c r="E66" s="69">
        <f>EDU*4</f>
        <v>300</v>
      </c>
      <c r="F66" s="70" t="s">
        <v>358</v>
      </c>
    </row>
    <row r="67" spans="1:6" x14ac:dyDescent="0.25">
      <c r="A67" s="71">
        <v>65</v>
      </c>
      <c r="B67" s="102" t="s">
        <v>200</v>
      </c>
      <c r="C67" s="72" t="s">
        <v>98</v>
      </c>
      <c r="D67" s="73" t="s">
        <v>87</v>
      </c>
      <c r="E67" s="72">
        <f>EDU*4</f>
        <v>300</v>
      </c>
      <c r="F67" s="74" t="s">
        <v>659</v>
      </c>
    </row>
    <row r="68" spans="1:6" x14ac:dyDescent="0.25">
      <c r="A68" s="67">
        <v>66</v>
      </c>
      <c r="B68" s="101" t="s">
        <v>201</v>
      </c>
      <c r="C68" s="68" t="s">
        <v>202</v>
      </c>
      <c r="D68" s="75" t="s">
        <v>87</v>
      </c>
      <c r="E68" s="69">
        <f>EDU*4</f>
        <v>300</v>
      </c>
      <c r="F68" s="70" t="s">
        <v>203</v>
      </c>
    </row>
    <row r="69" spans="1:6" x14ac:dyDescent="0.25">
      <c r="A69" s="71">
        <v>67</v>
      </c>
      <c r="B69" s="102" t="s">
        <v>204</v>
      </c>
      <c r="C69" s="72" t="s">
        <v>181</v>
      </c>
      <c r="D69" s="73" t="s">
        <v>87</v>
      </c>
      <c r="E69" s="72">
        <f>EDU*4</f>
        <v>300</v>
      </c>
      <c r="F69" s="74" t="s">
        <v>660</v>
      </c>
    </row>
    <row r="70" spans="1:6" ht="31.2" x14ac:dyDescent="0.25">
      <c r="A70" s="67">
        <v>68</v>
      </c>
      <c r="B70" s="101" t="s">
        <v>661</v>
      </c>
      <c r="C70" s="68" t="s">
        <v>98</v>
      </c>
      <c r="D70" s="75" t="s">
        <v>693</v>
      </c>
      <c r="E70" s="69">
        <f>EDU*2+MAX(STR,DEX)*2</f>
        <v>290</v>
      </c>
      <c r="F70" s="70" t="s">
        <v>662</v>
      </c>
    </row>
    <row r="71" spans="1:6" ht="16.5" customHeight="1" x14ac:dyDescent="0.25">
      <c r="A71" s="71">
        <v>69</v>
      </c>
      <c r="B71" s="102" t="s">
        <v>205</v>
      </c>
      <c r="C71" s="72" t="s">
        <v>98</v>
      </c>
      <c r="D71" s="73" t="s">
        <v>693</v>
      </c>
      <c r="E71" s="72">
        <f>EDU*2+MAX(STR,DEX)*2</f>
        <v>290</v>
      </c>
      <c r="F71" s="74" t="s">
        <v>663</v>
      </c>
    </row>
    <row r="72" spans="1:6" ht="16.5" customHeight="1" x14ac:dyDescent="0.25">
      <c r="A72" s="67">
        <v>70</v>
      </c>
      <c r="B72" s="101" t="s">
        <v>206</v>
      </c>
      <c r="C72" s="68" t="s">
        <v>98</v>
      </c>
      <c r="D72" s="75" t="s">
        <v>693</v>
      </c>
      <c r="E72" s="69">
        <f>EDU*2+MAX(STR,DEX)*2</f>
        <v>290</v>
      </c>
      <c r="F72" s="70" t="s">
        <v>664</v>
      </c>
    </row>
    <row r="73" spans="1:6" x14ac:dyDescent="0.25">
      <c r="A73" s="71">
        <v>71</v>
      </c>
      <c r="B73" s="102" t="s">
        <v>207</v>
      </c>
      <c r="C73" s="72" t="s">
        <v>117</v>
      </c>
      <c r="D73" s="73" t="s">
        <v>87</v>
      </c>
      <c r="E73" s="72">
        <f>EDU*4</f>
        <v>300</v>
      </c>
      <c r="F73" s="74" t="s">
        <v>208</v>
      </c>
    </row>
    <row r="74" spans="1:6" x14ac:dyDescent="0.25">
      <c r="A74" s="67">
        <v>72</v>
      </c>
      <c r="B74" s="101" t="s">
        <v>209</v>
      </c>
      <c r="C74" s="68" t="s">
        <v>210</v>
      </c>
      <c r="D74" s="75" t="s">
        <v>87</v>
      </c>
      <c r="E74" s="69">
        <f>EDU*4</f>
        <v>300</v>
      </c>
      <c r="F74" s="70" t="s">
        <v>665</v>
      </c>
    </row>
    <row r="75" spans="1:6" x14ac:dyDescent="0.25">
      <c r="A75" s="71">
        <v>73</v>
      </c>
      <c r="B75" s="102" t="s">
        <v>211</v>
      </c>
      <c r="C75" s="72" t="s">
        <v>100</v>
      </c>
      <c r="D75" s="73" t="s">
        <v>87</v>
      </c>
      <c r="E75" s="72">
        <f>EDU*4</f>
        <v>300</v>
      </c>
      <c r="F75" s="74" t="s">
        <v>666</v>
      </c>
    </row>
    <row r="76" spans="1:6" ht="16.5" customHeight="1" x14ac:dyDescent="0.25">
      <c r="A76" s="67">
        <v>74</v>
      </c>
      <c r="B76" s="101" t="s">
        <v>212</v>
      </c>
      <c r="C76" s="68" t="s">
        <v>213</v>
      </c>
      <c r="D76" s="75" t="s">
        <v>693</v>
      </c>
      <c r="E76" s="69">
        <f>EDU*2+MAX(STR,DEX)*2</f>
        <v>290</v>
      </c>
      <c r="F76" s="70" t="s">
        <v>667</v>
      </c>
    </row>
    <row r="77" spans="1:6" ht="17.25" customHeight="1" x14ac:dyDescent="0.25">
      <c r="A77" s="71">
        <v>75</v>
      </c>
      <c r="B77" s="102" t="s">
        <v>214</v>
      </c>
      <c r="C77" s="72" t="s">
        <v>215</v>
      </c>
      <c r="D77" s="73" t="s">
        <v>84</v>
      </c>
      <c r="E77" s="72">
        <f>EDU*2+APP*2</f>
        <v>300</v>
      </c>
      <c r="F77" s="74" t="s">
        <v>668</v>
      </c>
    </row>
    <row r="78" spans="1:6" ht="17.25" customHeight="1" x14ac:dyDescent="0.25">
      <c r="A78" s="67">
        <v>76</v>
      </c>
      <c r="B78" s="101" t="s">
        <v>216</v>
      </c>
      <c r="C78" s="68" t="s">
        <v>110</v>
      </c>
      <c r="D78" s="75" t="s">
        <v>693</v>
      </c>
      <c r="E78" s="69">
        <f>EDU*2+MAX(STR,DEX)*2</f>
        <v>290</v>
      </c>
      <c r="F78" s="70" t="s">
        <v>669</v>
      </c>
    </row>
    <row r="79" spans="1:6" x14ac:dyDescent="0.25">
      <c r="A79" s="71">
        <v>77</v>
      </c>
      <c r="B79" s="102" t="s">
        <v>217</v>
      </c>
      <c r="C79" s="72" t="s">
        <v>181</v>
      </c>
      <c r="D79" s="73" t="s">
        <v>87</v>
      </c>
      <c r="E79" s="72">
        <f>EDU*4</f>
        <v>300</v>
      </c>
      <c r="F79" s="74" t="s">
        <v>218</v>
      </c>
    </row>
    <row r="80" spans="1:6" ht="16.5" customHeight="1" x14ac:dyDescent="0.25">
      <c r="A80" s="67">
        <v>78</v>
      </c>
      <c r="B80" s="101" t="s">
        <v>219</v>
      </c>
      <c r="C80" s="68" t="s">
        <v>98</v>
      </c>
      <c r="D80" s="75" t="s">
        <v>695</v>
      </c>
      <c r="E80" s="69">
        <f>EDU*2+MAX(DEX,POW)*2</f>
        <v>290</v>
      </c>
      <c r="F80" s="70" t="s">
        <v>670</v>
      </c>
    </row>
    <row r="81" spans="1:6" x14ac:dyDescent="0.25">
      <c r="A81" s="71">
        <v>79</v>
      </c>
      <c r="B81" s="102" t="s">
        <v>220</v>
      </c>
      <c r="C81" s="72" t="s">
        <v>98</v>
      </c>
      <c r="D81" s="73" t="s">
        <v>87</v>
      </c>
      <c r="E81" s="72">
        <f>EDU*4</f>
        <v>300</v>
      </c>
      <c r="F81" s="74" t="s">
        <v>221</v>
      </c>
    </row>
    <row r="82" spans="1:6" ht="31.2" x14ac:dyDescent="0.25">
      <c r="A82" s="67">
        <v>80</v>
      </c>
      <c r="B82" s="101" t="s">
        <v>222</v>
      </c>
      <c r="C82" s="68" t="s">
        <v>223</v>
      </c>
      <c r="D82" s="75" t="s">
        <v>87</v>
      </c>
      <c r="E82" s="69">
        <f>EDU*4</f>
        <v>300</v>
      </c>
      <c r="F82" s="70" t="s">
        <v>281</v>
      </c>
    </row>
    <row r="83" spans="1:6" ht="16.5" customHeight="1" x14ac:dyDescent="0.25">
      <c r="A83" s="71">
        <v>81</v>
      </c>
      <c r="B83" s="102" t="s">
        <v>224</v>
      </c>
      <c r="C83" s="72" t="s">
        <v>225</v>
      </c>
      <c r="D83" s="73" t="s">
        <v>693</v>
      </c>
      <c r="E83" s="72">
        <f>EDU*2+MAX(STR,DEX)*2</f>
        <v>290</v>
      </c>
      <c r="F83" s="74" t="s">
        <v>671</v>
      </c>
    </row>
    <row r="84" spans="1:6" x14ac:dyDescent="0.25">
      <c r="A84" s="67">
        <v>82</v>
      </c>
      <c r="B84" s="101" t="s">
        <v>226</v>
      </c>
      <c r="C84" s="68" t="s">
        <v>98</v>
      </c>
      <c r="D84" s="75" t="s">
        <v>87</v>
      </c>
      <c r="E84" s="69">
        <f>EDU*4</f>
        <v>300</v>
      </c>
      <c r="F84" s="70" t="s">
        <v>672</v>
      </c>
    </row>
    <row r="85" spans="1:6" x14ac:dyDescent="0.25">
      <c r="A85" s="71">
        <v>83</v>
      </c>
      <c r="B85" s="102" t="s">
        <v>227</v>
      </c>
      <c r="C85" s="72" t="s">
        <v>228</v>
      </c>
      <c r="D85" s="73" t="s">
        <v>87</v>
      </c>
      <c r="E85" s="72">
        <f>EDU*4</f>
        <v>300</v>
      </c>
      <c r="F85" s="74" t="s">
        <v>229</v>
      </c>
    </row>
    <row r="86" spans="1:6" x14ac:dyDescent="0.25">
      <c r="A86" s="67">
        <v>84</v>
      </c>
      <c r="B86" s="101" t="s">
        <v>230</v>
      </c>
      <c r="C86" s="68" t="s">
        <v>98</v>
      </c>
      <c r="D86" s="75" t="s">
        <v>87</v>
      </c>
      <c r="E86" s="69">
        <f>EDU*4</f>
        <v>300</v>
      </c>
      <c r="F86" s="70" t="s">
        <v>673</v>
      </c>
    </row>
    <row r="87" spans="1:6" x14ac:dyDescent="0.25">
      <c r="A87" s="71">
        <v>85</v>
      </c>
      <c r="B87" s="102" t="s">
        <v>231</v>
      </c>
      <c r="C87" s="72" t="s">
        <v>181</v>
      </c>
      <c r="D87" s="73" t="s">
        <v>87</v>
      </c>
      <c r="E87" s="72">
        <f>EDU*4</f>
        <v>300</v>
      </c>
      <c r="F87" s="74" t="s">
        <v>674</v>
      </c>
    </row>
    <row r="88" spans="1:6" ht="16.5" customHeight="1" x14ac:dyDescent="0.25">
      <c r="A88" s="67">
        <v>86</v>
      </c>
      <c r="B88" s="101" t="s">
        <v>232</v>
      </c>
      <c r="C88" s="68" t="s">
        <v>213</v>
      </c>
      <c r="D88" s="75" t="s">
        <v>103</v>
      </c>
      <c r="E88" s="69">
        <f>EDU*2+DEX*2</f>
        <v>290</v>
      </c>
      <c r="F88" s="70" t="s">
        <v>675</v>
      </c>
    </row>
    <row r="89" spans="1:6" x14ac:dyDescent="0.25">
      <c r="A89" s="71">
        <v>87</v>
      </c>
      <c r="B89" s="102" t="s">
        <v>233</v>
      </c>
      <c r="C89" s="72" t="s">
        <v>110</v>
      </c>
      <c r="D89" s="73" t="s">
        <v>87</v>
      </c>
      <c r="E89" s="72">
        <f>EDU*4</f>
        <v>300</v>
      </c>
      <c r="F89" s="74" t="s">
        <v>676</v>
      </c>
    </row>
    <row r="90" spans="1:6" ht="16.5" customHeight="1" x14ac:dyDescent="0.25">
      <c r="A90" s="67">
        <v>88</v>
      </c>
      <c r="B90" s="101" t="s">
        <v>234</v>
      </c>
      <c r="C90" s="68" t="s">
        <v>147</v>
      </c>
      <c r="D90" s="75" t="s">
        <v>693</v>
      </c>
      <c r="E90" s="69">
        <f>EDU*2+MAX(STR,DEX)*2</f>
        <v>290</v>
      </c>
      <c r="F90" s="70" t="s">
        <v>677</v>
      </c>
    </row>
    <row r="91" spans="1:6" ht="16.5" customHeight="1" x14ac:dyDescent="0.25">
      <c r="A91" s="71">
        <v>89</v>
      </c>
      <c r="B91" s="102" t="s">
        <v>235</v>
      </c>
      <c r="C91" s="72" t="s">
        <v>98</v>
      </c>
      <c r="D91" s="73" t="s">
        <v>693</v>
      </c>
      <c r="E91" s="72">
        <f>EDU*2+MAX(STR,DEX)*2</f>
        <v>290</v>
      </c>
      <c r="F91" s="74" t="s">
        <v>236</v>
      </c>
    </row>
    <row r="92" spans="1:6" ht="16.5" customHeight="1" x14ac:dyDescent="0.25">
      <c r="A92" s="67">
        <v>90</v>
      </c>
      <c r="B92" s="101" t="s">
        <v>237</v>
      </c>
      <c r="C92" s="68" t="s">
        <v>98</v>
      </c>
      <c r="D92" s="75" t="s">
        <v>693</v>
      </c>
      <c r="E92" s="69">
        <f>EDU*2+MAX(STR,DEX)*2</f>
        <v>290</v>
      </c>
      <c r="F92" s="70" t="s">
        <v>678</v>
      </c>
    </row>
    <row r="93" spans="1:6" x14ac:dyDescent="0.25">
      <c r="A93" s="71">
        <v>91</v>
      </c>
      <c r="B93" s="102" t="s">
        <v>238</v>
      </c>
      <c r="C93" s="72" t="s">
        <v>213</v>
      </c>
      <c r="D93" s="73" t="s">
        <v>87</v>
      </c>
      <c r="E93" s="72">
        <f>EDU*4</f>
        <v>300</v>
      </c>
      <c r="F93" s="74" t="s">
        <v>239</v>
      </c>
    </row>
    <row r="94" spans="1:6" ht="16.5" customHeight="1" x14ac:dyDescent="0.25">
      <c r="A94" s="67">
        <v>92</v>
      </c>
      <c r="B94" s="101" t="s">
        <v>240</v>
      </c>
      <c r="C94" s="68" t="s">
        <v>241</v>
      </c>
      <c r="D94" s="75" t="s">
        <v>693</v>
      </c>
      <c r="E94" s="69">
        <f>EDU*2+MAX(STR,DEX)*2</f>
        <v>290</v>
      </c>
      <c r="F94" s="70" t="s">
        <v>679</v>
      </c>
    </row>
    <row r="95" spans="1:6" ht="17.25" customHeight="1" x14ac:dyDescent="0.25">
      <c r="A95" s="71">
        <v>93</v>
      </c>
      <c r="B95" s="102" t="s">
        <v>242</v>
      </c>
      <c r="C95" s="72" t="s">
        <v>243</v>
      </c>
      <c r="D95" s="73" t="s">
        <v>84</v>
      </c>
      <c r="E95" s="72">
        <f>EDU*2+APP*2</f>
        <v>300</v>
      </c>
      <c r="F95" s="74" t="s">
        <v>680</v>
      </c>
    </row>
    <row r="96" spans="1:6" x14ac:dyDescent="0.25">
      <c r="A96" s="67">
        <v>94</v>
      </c>
      <c r="B96" s="101" t="s">
        <v>244</v>
      </c>
      <c r="C96" s="68" t="s">
        <v>117</v>
      </c>
      <c r="D96" s="75" t="s">
        <v>87</v>
      </c>
      <c r="E96" s="69">
        <f>EDU*4</f>
        <v>300</v>
      </c>
      <c r="F96" s="70" t="s">
        <v>129</v>
      </c>
    </row>
    <row r="97" spans="1:6" x14ac:dyDescent="0.25">
      <c r="A97" s="71">
        <v>95</v>
      </c>
      <c r="B97" s="102" t="s">
        <v>245</v>
      </c>
      <c r="C97" s="72" t="s">
        <v>88</v>
      </c>
      <c r="D97" s="73" t="s">
        <v>87</v>
      </c>
      <c r="E97" s="72">
        <f>EDU*4</f>
        <v>300</v>
      </c>
      <c r="F97" s="74" t="s">
        <v>246</v>
      </c>
    </row>
    <row r="98" spans="1:6" x14ac:dyDescent="0.25">
      <c r="A98" s="67">
        <v>96</v>
      </c>
      <c r="B98" s="101" t="s">
        <v>247</v>
      </c>
      <c r="C98" s="68" t="s">
        <v>98</v>
      </c>
      <c r="D98" s="75" t="s">
        <v>87</v>
      </c>
      <c r="E98" s="69">
        <f>EDU*4</f>
        <v>300</v>
      </c>
      <c r="F98" s="70" t="s">
        <v>681</v>
      </c>
    </row>
    <row r="99" spans="1:6" x14ac:dyDescent="0.25">
      <c r="A99" s="71">
        <v>97</v>
      </c>
      <c r="B99" s="102" t="s">
        <v>248</v>
      </c>
      <c r="C99" s="72" t="s">
        <v>98</v>
      </c>
      <c r="D99" s="73" t="s">
        <v>87</v>
      </c>
      <c r="E99" s="72">
        <f>EDU*4</f>
        <v>300</v>
      </c>
      <c r="F99" s="74" t="s">
        <v>249</v>
      </c>
    </row>
    <row r="100" spans="1:6" x14ac:dyDescent="0.25">
      <c r="A100" s="67">
        <v>98</v>
      </c>
      <c r="B100" s="101" t="s">
        <v>250</v>
      </c>
      <c r="C100" s="68" t="s">
        <v>148</v>
      </c>
      <c r="D100" s="75" t="s">
        <v>87</v>
      </c>
      <c r="E100" s="69">
        <f>EDU*4</f>
        <v>300</v>
      </c>
      <c r="F100" s="70" t="s">
        <v>682</v>
      </c>
    </row>
    <row r="101" spans="1:6" ht="17.25" customHeight="1" x14ac:dyDescent="0.25">
      <c r="A101" s="71">
        <v>99</v>
      </c>
      <c r="B101" s="102" t="s">
        <v>251</v>
      </c>
      <c r="C101" s="72" t="s">
        <v>100</v>
      </c>
      <c r="D101" s="73" t="s">
        <v>276</v>
      </c>
      <c r="E101" s="72">
        <f>EDU*2+APP*2</f>
        <v>300</v>
      </c>
      <c r="F101" s="74" t="s">
        <v>252</v>
      </c>
    </row>
    <row r="102" spans="1:6" x14ac:dyDescent="0.25">
      <c r="A102" s="67">
        <v>100</v>
      </c>
      <c r="B102" s="101" t="s">
        <v>253</v>
      </c>
      <c r="C102" s="68" t="s">
        <v>90</v>
      </c>
      <c r="D102" s="75" t="s">
        <v>87</v>
      </c>
      <c r="E102" s="69">
        <f>EDU*4</f>
        <v>300</v>
      </c>
      <c r="F102" s="70" t="s">
        <v>683</v>
      </c>
    </row>
    <row r="103" spans="1:6" ht="17.25" customHeight="1" x14ac:dyDescent="0.25">
      <c r="A103" s="71">
        <v>101</v>
      </c>
      <c r="B103" s="102" t="s">
        <v>254</v>
      </c>
      <c r="C103" s="72" t="s">
        <v>98</v>
      </c>
      <c r="D103" s="73" t="s">
        <v>694</v>
      </c>
      <c r="E103" s="72">
        <f>EDU*2+MAX(DEX,APP)*2</f>
        <v>300</v>
      </c>
      <c r="F103" s="74" t="s">
        <v>684</v>
      </c>
    </row>
    <row r="104" spans="1:6" ht="17.25" customHeight="1" x14ac:dyDescent="0.25">
      <c r="A104" s="67">
        <v>102</v>
      </c>
      <c r="B104" s="101" t="s">
        <v>255</v>
      </c>
      <c r="C104" s="68" t="s">
        <v>148</v>
      </c>
      <c r="D104" s="75" t="s">
        <v>694</v>
      </c>
      <c r="E104" s="69">
        <f>EDU*2+MAX(DEX,APP)*2</f>
        <v>300</v>
      </c>
      <c r="F104" s="70" t="s">
        <v>685</v>
      </c>
    </row>
    <row r="105" spans="1:6" ht="16.5" customHeight="1" x14ac:dyDescent="0.25">
      <c r="A105" s="71">
        <v>103</v>
      </c>
      <c r="B105" s="102" t="s">
        <v>256</v>
      </c>
      <c r="C105" s="72" t="s">
        <v>98</v>
      </c>
      <c r="D105" s="73" t="s">
        <v>693</v>
      </c>
      <c r="E105" s="72">
        <f>EDU*2+MAX(STR,DEX)*2</f>
        <v>290</v>
      </c>
      <c r="F105" s="74" t="s">
        <v>257</v>
      </c>
    </row>
    <row r="106" spans="1:6" ht="17.25" customHeight="1" x14ac:dyDescent="0.25">
      <c r="A106" s="67">
        <v>104</v>
      </c>
      <c r="B106" s="101" t="s">
        <v>258</v>
      </c>
      <c r="C106" s="68" t="s">
        <v>109</v>
      </c>
      <c r="D106" s="75" t="s">
        <v>694</v>
      </c>
      <c r="E106" s="69">
        <f>EDU*2+MAX(DEX,APP)*2</f>
        <v>300</v>
      </c>
      <c r="F106" s="70" t="s">
        <v>686</v>
      </c>
    </row>
    <row r="107" spans="1:6" x14ac:dyDescent="0.25">
      <c r="A107" s="71">
        <v>105</v>
      </c>
      <c r="B107" s="102" t="s">
        <v>259</v>
      </c>
      <c r="C107" s="72" t="s">
        <v>260</v>
      </c>
      <c r="D107" s="73" t="s">
        <v>87</v>
      </c>
      <c r="E107" s="72">
        <f>EDU*4</f>
        <v>300</v>
      </c>
      <c r="F107" s="74" t="s">
        <v>261</v>
      </c>
    </row>
    <row r="108" spans="1:6" ht="16.5" customHeight="1" x14ac:dyDescent="0.25">
      <c r="A108" s="67">
        <v>106</v>
      </c>
      <c r="B108" s="101" t="s">
        <v>262</v>
      </c>
      <c r="C108" s="68" t="s">
        <v>263</v>
      </c>
      <c r="D108" s="75" t="s">
        <v>693</v>
      </c>
      <c r="E108" s="69">
        <f>EDU*2+MAX(STR,DEX)*2</f>
        <v>290</v>
      </c>
      <c r="F108" s="70" t="s">
        <v>687</v>
      </c>
    </row>
    <row r="109" spans="1:6" ht="16.5" customHeight="1" x14ac:dyDescent="0.25">
      <c r="A109" s="71">
        <v>107</v>
      </c>
      <c r="B109" s="102" t="s">
        <v>264</v>
      </c>
      <c r="C109" s="72" t="s">
        <v>280</v>
      </c>
      <c r="D109" s="73" t="s">
        <v>693</v>
      </c>
      <c r="E109" s="72">
        <f>EDU*2+MAX(STR,DEX)*2</f>
        <v>290</v>
      </c>
      <c r="F109" s="74" t="s">
        <v>688</v>
      </c>
    </row>
    <row r="110" spans="1:6" x14ac:dyDescent="0.25">
      <c r="A110" s="67">
        <v>108</v>
      </c>
      <c r="B110" s="101" t="s">
        <v>265</v>
      </c>
      <c r="C110" s="68" t="s">
        <v>148</v>
      </c>
      <c r="D110" s="75" t="s">
        <v>87</v>
      </c>
      <c r="E110" s="69">
        <f>EDU*4</f>
        <v>300</v>
      </c>
      <c r="F110" s="70" t="s">
        <v>689</v>
      </c>
    </row>
    <row r="111" spans="1:6" x14ac:dyDescent="0.25">
      <c r="A111" s="71">
        <v>109</v>
      </c>
      <c r="B111" s="102" t="s">
        <v>266</v>
      </c>
      <c r="C111" s="72" t="s">
        <v>243</v>
      </c>
      <c r="D111" s="73" t="s">
        <v>87</v>
      </c>
      <c r="E111" s="72">
        <f>EDU*4</f>
        <v>300</v>
      </c>
      <c r="F111" s="74" t="s">
        <v>267</v>
      </c>
    </row>
    <row r="112" spans="1:6" ht="17.25" customHeight="1" x14ac:dyDescent="0.25">
      <c r="A112" s="67">
        <v>110</v>
      </c>
      <c r="B112" s="101" t="s">
        <v>268</v>
      </c>
      <c r="C112" s="68" t="s">
        <v>82</v>
      </c>
      <c r="D112" s="75" t="s">
        <v>694</v>
      </c>
      <c r="E112" s="69">
        <f>EDU*2+MAX(DEX,APP)*2</f>
        <v>300</v>
      </c>
      <c r="F112" s="70" t="s">
        <v>690</v>
      </c>
    </row>
    <row r="113" spans="1:6" x14ac:dyDescent="0.25">
      <c r="A113" s="71">
        <v>111</v>
      </c>
      <c r="B113" s="102" t="s">
        <v>269</v>
      </c>
      <c r="C113" s="72" t="s">
        <v>82</v>
      </c>
      <c r="D113" s="73" t="s">
        <v>87</v>
      </c>
      <c r="E113" s="72">
        <f>EDU*4</f>
        <v>300</v>
      </c>
      <c r="F113" s="74" t="s">
        <v>270</v>
      </c>
    </row>
    <row r="114" spans="1:6" x14ac:dyDescent="0.25">
      <c r="A114" s="67">
        <v>112</v>
      </c>
      <c r="B114" s="101" t="s">
        <v>271</v>
      </c>
      <c r="C114" s="68" t="s">
        <v>272</v>
      </c>
      <c r="D114" s="75" t="s">
        <v>87</v>
      </c>
      <c r="E114" s="69">
        <f>EDU*4</f>
        <v>300</v>
      </c>
      <c r="F114" s="70" t="s">
        <v>691</v>
      </c>
    </row>
    <row r="115" spans="1:6" ht="16.5" customHeight="1" x14ac:dyDescent="0.25">
      <c r="A115" s="71">
        <v>113</v>
      </c>
      <c r="B115" s="102" t="s">
        <v>273</v>
      </c>
      <c r="C115" s="72" t="s">
        <v>215</v>
      </c>
      <c r="D115" s="73" t="s">
        <v>696</v>
      </c>
      <c r="E115" s="72">
        <f>EDU*2+MAX(APP,POW)*2</f>
        <v>300</v>
      </c>
      <c r="F115" s="74" t="s">
        <v>274</v>
      </c>
    </row>
    <row r="116" spans="1:6" ht="16.2" thickBot="1" x14ac:dyDescent="0.3">
      <c r="A116" s="94">
        <v>114</v>
      </c>
      <c r="B116" s="103" t="s">
        <v>275</v>
      </c>
      <c r="C116" s="95" t="s">
        <v>100</v>
      </c>
      <c r="D116" s="96" t="s">
        <v>87</v>
      </c>
      <c r="E116" s="97">
        <f>EDU*4</f>
        <v>300</v>
      </c>
      <c r="F116" s="98" t="s">
        <v>692</v>
      </c>
    </row>
  </sheetData>
  <sheetProtection algorithmName="SHA-512" hashValue="x98fxv2XUkZYPnaQ6tDzSGj7eZSdq+xHDowtP/fWWzAK5FlaM3sUny9IqQutBw3+ioyrJYoUtFQbsElmULCjrA==" saltValue="utKdct5/t5ad5t/ePOEfZA==" spinCount="100000" sheet="1" objects="1" scenarios="1"/>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C1D58DD-2509-482D-AE39-523038120341}">
          <x14:formula1>
            <xm:f>附表!$E$26:$E$31</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L33"/>
  <sheetViews>
    <sheetView showGridLines="0" workbookViewId="0">
      <selection activeCell="H14" sqref="H14:L14"/>
    </sheetView>
  </sheetViews>
  <sheetFormatPr defaultColWidth="9" defaultRowHeight="15.6" x14ac:dyDescent="0.25"/>
  <cols>
    <col min="1" max="1" width="3.44140625" style="20" customWidth="1"/>
    <col min="2" max="3" width="9.21875" style="20" bestFit="1" customWidth="1"/>
    <col min="4" max="5" width="11.21875" style="20" bestFit="1" customWidth="1"/>
    <col min="6" max="6" width="10.77734375" style="20" bestFit="1" customWidth="1"/>
    <col min="7" max="7" width="3.44140625" style="20" customWidth="1"/>
    <col min="8" max="9" width="9.21875" style="20" bestFit="1" customWidth="1"/>
    <col min="10" max="10" width="10.109375" style="20" bestFit="1" customWidth="1"/>
    <col min="11" max="11" width="12.6640625" style="20" customWidth="1"/>
    <col min="12" max="12" width="9.21875" style="20" bestFit="1" customWidth="1"/>
    <col min="13" max="16384" width="9" style="20"/>
  </cols>
  <sheetData>
    <row r="1" spans="2:12" ht="16.2" thickBot="1" x14ac:dyDescent="0.3"/>
    <row r="2" spans="2:12" x14ac:dyDescent="0.25">
      <c r="B2" s="601" t="s">
        <v>491</v>
      </c>
      <c r="C2" s="602"/>
      <c r="D2" s="602"/>
      <c r="E2" s="602"/>
      <c r="F2" s="603"/>
      <c r="H2" s="601" t="s">
        <v>577</v>
      </c>
      <c r="I2" s="602"/>
      <c r="J2" s="602"/>
      <c r="K2" s="602"/>
      <c r="L2" s="603"/>
    </row>
    <row r="3" spans="2:12" x14ac:dyDescent="0.25">
      <c r="B3" s="22" t="s">
        <v>460</v>
      </c>
      <c r="C3" s="21" t="s">
        <v>401</v>
      </c>
      <c r="D3" s="21" t="s">
        <v>461</v>
      </c>
      <c r="E3" s="21" t="s">
        <v>462</v>
      </c>
      <c r="F3" s="23" t="s">
        <v>463</v>
      </c>
      <c r="H3" s="22" t="s">
        <v>460</v>
      </c>
      <c r="I3" s="21" t="s">
        <v>401</v>
      </c>
      <c r="J3" s="21" t="s">
        <v>461</v>
      </c>
      <c r="K3" s="21" t="s">
        <v>462</v>
      </c>
      <c r="L3" s="23" t="s">
        <v>463</v>
      </c>
    </row>
    <row r="4" spans="2:12" x14ac:dyDescent="0.25">
      <c r="B4" s="15" t="s">
        <v>464</v>
      </c>
      <c r="C4" s="18" t="s">
        <v>472</v>
      </c>
      <c r="D4" s="18" t="s">
        <v>478</v>
      </c>
      <c r="E4" s="18" t="s">
        <v>33</v>
      </c>
      <c r="F4" s="24" t="s">
        <v>478</v>
      </c>
      <c r="H4" s="15" t="s">
        <v>464</v>
      </c>
      <c r="I4" s="18" t="s">
        <v>472</v>
      </c>
      <c r="J4" s="18" t="s">
        <v>487</v>
      </c>
      <c r="K4" s="18" t="s">
        <v>33</v>
      </c>
      <c r="L4" s="24" t="s">
        <v>487</v>
      </c>
    </row>
    <row r="5" spans="2:12" x14ac:dyDescent="0.25">
      <c r="B5" s="16" t="s">
        <v>465</v>
      </c>
      <c r="C5" s="14" t="s">
        <v>470</v>
      </c>
      <c r="D5" s="17" t="s">
        <v>476</v>
      </c>
      <c r="E5" s="17" t="s">
        <v>477</v>
      </c>
      <c r="F5" s="25" t="s">
        <v>459</v>
      </c>
      <c r="H5" s="16" t="s">
        <v>465</v>
      </c>
      <c r="I5" s="14" t="s">
        <v>470</v>
      </c>
      <c r="J5" s="17" t="s">
        <v>481</v>
      </c>
      <c r="K5" s="17" t="s">
        <v>494</v>
      </c>
      <c r="L5" s="25" t="s">
        <v>500</v>
      </c>
    </row>
    <row r="6" spans="2:12" x14ac:dyDescent="0.25">
      <c r="B6" s="15" t="s">
        <v>466</v>
      </c>
      <c r="C6" s="18" t="s">
        <v>471</v>
      </c>
      <c r="D6" s="18" t="s">
        <v>479</v>
      </c>
      <c r="E6" s="19" t="s">
        <v>483</v>
      </c>
      <c r="F6" s="26" t="s">
        <v>487</v>
      </c>
      <c r="H6" s="15" t="s">
        <v>466</v>
      </c>
      <c r="I6" s="18" t="s">
        <v>471</v>
      </c>
      <c r="J6" s="18" t="s">
        <v>492</v>
      </c>
      <c r="K6" s="19" t="s">
        <v>496</v>
      </c>
      <c r="L6" s="26" t="s">
        <v>501</v>
      </c>
    </row>
    <row r="7" spans="2:12" x14ac:dyDescent="0.25">
      <c r="B7" s="16" t="s">
        <v>467</v>
      </c>
      <c r="C7" s="14" t="s">
        <v>473</v>
      </c>
      <c r="D7" s="14" t="s">
        <v>480</v>
      </c>
      <c r="E7" s="17" t="s">
        <v>484</v>
      </c>
      <c r="F7" s="25" t="s">
        <v>488</v>
      </c>
      <c r="H7" s="16" t="s">
        <v>467</v>
      </c>
      <c r="I7" s="14" t="s">
        <v>473</v>
      </c>
      <c r="J7" s="14" t="s">
        <v>493</v>
      </c>
      <c r="K7" s="17" t="s">
        <v>497</v>
      </c>
      <c r="L7" s="25" t="s">
        <v>502</v>
      </c>
    </row>
    <row r="8" spans="2:12" x14ac:dyDescent="0.25">
      <c r="B8" s="15" t="s">
        <v>468</v>
      </c>
      <c r="C8" s="18" t="s">
        <v>474</v>
      </c>
      <c r="D8" s="18" t="s">
        <v>481</v>
      </c>
      <c r="E8" s="19" t="s">
        <v>485</v>
      </c>
      <c r="F8" s="26" t="s">
        <v>489</v>
      </c>
      <c r="H8" s="15" t="s">
        <v>468</v>
      </c>
      <c r="I8" s="18" t="s">
        <v>474</v>
      </c>
      <c r="J8" s="18" t="s">
        <v>494</v>
      </c>
      <c r="K8" s="19" t="s">
        <v>498</v>
      </c>
      <c r="L8" s="26" t="s">
        <v>490</v>
      </c>
    </row>
    <row r="9" spans="2:12" x14ac:dyDescent="0.25">
      <c r="B9" s="16" t="s">
        <v>469</v>
      </c>
      <c r="C9" s="14" t="s">
        <v>475</v>
      </c>
      <c r="D9" s="14" t="s">
        <v>482</v>
      </c>
      <c r="E9" s="17" t="s">
        <v>486</v>
      </c>
      <c r="F9" s="25" t="s">
        <v>490</v>
      </c>
      <c r="H9" s="16" t="s">
        <v>469</v>
      </c>
      <c r="I9" s="14" t="s">
        <v>475</v>
      </c>
      <c r="J9" s="14" t="s">
        <v>495</v>
      </c>
      <c r="K9" s="17" t="s">
        <v>499</v>
      </c>
      <c r="L9" s="25" t="s">
        <v>503</v>
      </c>
    </row>
    <row r="10" spans="2:12" ht="16.2" thickBot="1" x14ac:dyDescent="0.3">
      <c r="B10" s="604" t="s">
        <v>538</v>
      </c>
      <c r="C10" s="605"/>
      <c r="D10" s="605"/>
      <c r="E10" s="605"/>
      <c r="F10" s="606"/>
      <c r="H10" s="604" t="s">
        <v>538</v>
      </c>
      <c r="I10" s="605"/>
      <c r="J10" s="605"/>
      <c r="K10" s="605"/>
      <c r="L10" s="606"/>
    </row>
    <row r="11" spans="2:12" ht="16.2" thickBot="1" x14ac:dyDescent="0.3"/>
    <row r="12" spans="2:12" x14ac:dyDescent="0.25">
      <c r="B12" s="601" t="s">
        <v>504</v>
      </c>
      <c r="C12" s="602"/>
      <c r="D12" s="602"/>
      <c r="E12" s="602"/>
      <c r="F12" s="603"/>
    </row>
    <row r="13" spans="2:12" x14ac:dyDescent="0.25">
      <c r="B13" s="22" t="s">
        <v>460</v>
      </c>
      <c r="C13" s="21" t="s">
        <v>401</v>
      </c>
      <c r="D13" s="21" t="s">
        <v>461</v>
      </c>
      <c r="E13" s="21" t="s">
        <v>462</v>
      </c>
      <c r="F13" s="23" t="s">
        <v>463</v>
      </c>
    </row>
    <row r="14" spans="2:12" x14ac:dyDescent="0.25">
      <c r="B14" s="15" t="s">
        <v>464</v>
      </c>
      <c r="C14" s="18" t="s">
        <v>472</v>
      </c>
      <c r="D14" s="18" t="s">
        <v>505</v>
      </c>
      <c r="E14" s="18" t="s">
        <v>33</v>
      </c>
      <c r="F14" s="24" t="s">
        <v>506</v>
      </c>
      <c r="H14" s="598" t="s">
        <v>614</v>
      </c>
      <c r="I14" s="598"/>
      <c r="J14" s="598"/>
      <c r="K14" s="598"/>
      <c r="L14" s="598"/>
    </row>
    <row r="15" spans="2:12" x14ac:dyDescent="0.25">
      <c r="B15" s="16" t="s">
        <v>465</v>
      </c>
      <c r="C15" s="14" t="s">
        <v>470</v>
      </c>
      <c r="D15" s="17" t="s">
        <v>476</v>
      </c>
      <c r="E15" s="17" t="s">
        <v>477</v>
      </c>
      <c r="F15" s="25" t="s">
        <v>510</v>
      </c>
    </row>
    <row r="16" spans="2:12" x14ac:dyDescent="0.25">
      <c r="B16" s="15" t="s">
        <v>466</v>
      </c>
      <c r="C16" s="18" t="s">
        <v>471</v>
      </c>
      <c r="D16" s="18" t="s">
        <v>477</v>
      </c>
      <c r="E16" s="19" t="s">
        <v>481</v>
      </c>
      <c r="F16" s="26" t="s">
        <v>540</v>
      </c>
    </row>
    <row r="17" spans="2:12" x14ac:dyDescent="0.25">
      <c r="B17" s="16" t="s">
        <v>467</v>
      </c>
      <c r="C17" s="14" t="s">
        <v>473</v>
      </c>
      <c r="D17" s="14" t="s">
        <v>507</v>
      </c>
      <c r="E17" s="17" t="s">
        <v>494</v>
      </c>
      <c r="F17" s="25" t="s">
        <v>511</v>
      </c>
    </row>
    <row r="18" spans="2:12" x14ac:dyDescent="0.25">
      <c r="B18" s="15" t="s">
        <v>468</v>
      </c>
      <c r="C18" s="18" t="s">
        <v>474</v>
      </c>
      <c r="D18" s="18" t="s">
        <v>483</v>
      </c>
      <c r="E18" s="19" t="s">
        <v>484</v>
      </c>
      <c r="F18" s="26" t="s">
        <v>488</v>
      </c>
    </row>
    <row r="19" spans="2:12" x14ac:dyDescent="0.25">
      <c r="B19" s="16" t="s">
        <v>469</v>
      </c>
      <c r="C19" s="14" t="s">
        <v>475</v>
      </c>
      <c r="D19" s="14" t="s">
        <v>508</v>
      </c>
      <c r="E19" s="17" t="s">
        <v>509</v>
      </c>
      <c r="F19" s="25" t="s">
        <v>489</v>
      </c>
    </row>
    <row r="20" spans="2:12" x14ac:dyDescent="0.25">
      <c r="B20" s="607" t="s">
        <v>539</v>
      </c>
      <c r="C20" s="608"/>
      <c r="D20" s="608"/>
      <c r="E20" s="608"/>
      <c r="F20" s="609"/>
    </row>
    <row r="21" spans="2:12" ht="16.2" thickBot="1" x14ac:dyDescent="0.3">
      <c r="B21" s="610"/>
      <c r="C21" s="611"/>
      <c r="D21" s="611"/>
      <c r="E21" s="611"/>
      <c r="F21" s="612"/>
    </row>
    <row r="24" spans="2:12" ht="16.2" thickBot="1" x14ac:dyDescent="0.3"/>
    <row r="25" spans="2:12" x14ac:dyDescent="0.25">
      <c r="B25" s="601" t="s">
        <v>585</v>
      </c>
      <c r="C25" s="602"/>
      <c r="D25" s="602"/>
      <c r="E25" s="602"/>
      <c r="F25" s="603"/>
      <c r="H25" s="601" t="s">
        <v>584</v>
      </c>
      <c r="I25" s="602"/>
      <c r="J25" s="602"/>
      <c r="K25" s="602"/>
      <c r="L25" s="603"/>
    </row>
    <row r="26" spans="2:12" x14ac:dyDescent="0.25">
      <c r="B26" s="22" t="s">
        <v>460</v>
      </c>
      <c r="C26" s="21" t="s">
        <v>401</v>
      </c>
      <c r="D26" s="21" t="s">
        <v>461</v>
      </c>
      <c r="E26" s="21" t="s">
        <v>462</v>
      </c>
      <c r="F26" s="23" t="s">
        <v>463</v>
      </c>
      <c r="H26" s="22" t="s">
        <v>460</v>
      </c>
      <c r="I26" s="21" t="s">
        <v>401</v>
      </c>
      <c r="J26" s="21" t="s">
        <v>461</v>
      </c>
      <c r="K26" s="21" t="s">
        <v>462</v>
      </c>
      <c r="L26" s="23" t="s">
        <v>463</v>
      </c>
    </row>
    <row r="27" spans="2:12" x14ac:dyDescent="0.25">
      <c r="B27" s="15" t="s">
        <v>464</v>
      </c>
      <c r="C27" s="18" t="s">
        <v>472</v>
      </c>
      <c r="D27" s="18" t="s">
        <v>513</v>
      </c>
      <c r="E27" s="18" t="s">
        <v>33</v>
      </c>
      <c r="F27" s="24" t="s">
        <v>488</v>
      </c>
      <c r="H27" s="15" t="s">
        <v>464</v>
      </c>
      <c r="I27" s="18" t="s">
        <v>472</v>
      </c>
      <c r="J27" s="18" t="s">
        <v>502</v>
      </c>
      <c r="K27" s="18" t="s">
        <v>33</v>
      </c>
      <c r="L27" s="24" t="s">
        <v>532</v>
      </c>
    </row>
    <row r="28" spans="2:12" x14ac:dyDescent="0.25">
      <c r="B28" s="16" t="s">
        <v>465</v>
      </c>
      <c r="C28" s="14" t="s">
        <v>470</v>
      </c>
      <c r="D28" s="17" t="s">
        <v>493</v>
      </c>
      <c r="E28" s="17" t="s">
        <v>496</v>
      </c>
      <c r="F28" s="25" t="s">
        <v>513</v>
      </c>
      <c r="H28" s="16" t="s">
        <v>465</v>
      </c>
      <c r="I28" s="14" t="s">
        <v>470</v>
      </c>
      <c r="J28" s="17" t="s">
        <v>523</v>
      </c>
      <c r="K28" s="17" t="s">
        <v>527</v>
      </c>
      <c r="L28" s="25" t="s">
        <v>533</v>
      </c>
    </row>
    <row r="29" spans="2:12" x14ac:dyDescent="0.25">
      <c r="B29" s="15" t="s">
        <v>466</v>
      </c>
      <c r="C29" s="18" t="s">
        <v>471</v>
      </c>
      <c r="D29" s="18" t="s">
        <v>494</v>
      </c>
      <c r="E29" s="19" t="s">
        <v>516</v>
      </c>
      <c r="F29" s="26" t="s">
        <v>502</v>
      </c>
      <c r="H29" s="15" t="s">
        <v>466</v>
      </c>
      <c r="I29" s="18" t="s">
        <v>471</v>
      </c>
      <c r="J29" s="18" t="s">
        <v>524</v>
      </c>
      <c r="K29" s="19" t="s">
        <v>528</v>
      </c>
      <c r="L29" s="26" t="s">
        <v>534</v>
      </c>
    </row>
    <row r="30" spans="2:12" x14ac:dyDescent="0.25">
      <c r="B30" s="16" t="s">
        <v>467</v>
      </c>
      <c r="C30" s="14" t="s">
        <v>473</v>
      </c>
      <c r="D30" s="14" t="s">
        <v>484</v>
      </c>
      <c r="E30" s="17" t="s">
        <v>517</v>
      </c>
      <c r="F30" s="25" t="s">
        <v>490</v>
      </c>
      <c r="H30" s="16" t="s">
        <v>467</v>
      </c>
      <c r="I30" s="14" t="s">
        <v>473</v>
      </c>
      <c r="J30" s="14" t="s">
        <v>525</v>
      </c>
      <c r="K30" s="17" t="s">
        <v>529</v>
      </c>
      <c r="L30" s="25" t="s">
        <v>535</v>
      </c>
    </row>
    <row r="31" spans="2:12" x14ac:dyDescent="0.25">
      <c r="B31" s="15" t="s">
        <v>468</v>
      </c>
      <c r="C31" s="18" t="s">
        <v>474</v>
      </c>
      <c r="D31" s="18" t="s">
        <v>514</v>
      </c>
      <c r="E31" s="19" t="s">
        <v>518</v>
      </c>
      <c r="F31" s="26" t="s">
        <v>520</v>
      </c>
      <c r="H31" s="15" t="s">
        <v>468</v>
      </c>
      <c r="I31" s="18" t="s">
        <v>474</v>
      </c>
      <c r="J31" s="18" t="s">
        <v>526</v>
      </c>
      <c r="K31" s="19" t="s">
        <v>530</v>
      </c>
      <c r="L31" s="26" t="s">
        <v>536</v>
      </c>
    </row>
    <row r="32" spans="2:12" x14ac:dyDescent="0.25">
      <c r="B32" s="16" t="s">
        <v>469</v>
      </c>
      <c r="C32" s="14" t="s">
        <v>475</v>
      </c>
      <c r="D32" s="14" t="s">
        <v>515</v>
      </c>
      <c r="E32" s="17" t="s">
        <v>519</v>
      </c>
      <c r="F32" s="25" t="s">
        <v>521</v>
      </c>
      <c r="H32" s="16" t="s">
        <v>469</v>
      </c>
      <c r="I32" s="14" t="s">
        <v>475</v>
      </c>
      <c r="J32" s="14" t="s">
        <v>522</v>
      </c>
      <c r="K32" s="17" t="s">
        <v>531</v>
      </c>
      <c r="L32" s="25" t="s">
        <v>537</v>
      </c>
    </row>
    <row r="33" spans="2:12" ht="16.8" thickBot="1" x14ac:dyDescent="0.3">
      <c r="B33" s="604" t="s">
        <v>512</v>
      </c>
      <c r="C33" s="605"/>
      <c r="D33" s="605"/>
      <c r="E33" s="605"/>
      <c r="F33" s="606"/>
      <c r="H33" s="604" t="s">
        <v>512</v>
      </c>
      <c r="I33" s="605"/>
      <c r="J33" s="605"/>
      <c r="K33" s="605"/>
      <c r="L33" s="606"/>
    </row>
  </sheetData>
  <sheetProtection algorithmName="SHA-512" hashValue="+Dzfz/p1VGlOcS7xtd03DAwIaWdVv763uzT6pHVGIl/iC51dVBIZBH0b1WeBCui4mJ18nMibVzI/qEu9ty3Lag==" saltValue="8ZAozf22ime3PvuXP7IipQ==" spinCount="100000" sheet="1" objects="1" scenarios="1"/>
  <mergeCells count="11">
    <mergeCell ref="B2:F2"/>
    <mergeCell ref="B10:F10"/>
    <mergeCell ref="H2:L2"/>
    <mergeCell ref="H25:L25"/>
    <mergeCell ref="H33:L33"/>
    <mergeCell ref="H10:L10"/>
    <mergeCell ref="B12:F12"/>
    <mergeCell ref="B20:F21"/>
    <mergeCell ref="B25:F25"/>
    <mergeCell ref="B33:F33"/>
    <mergeCell ref="H14:L14"/>
  </mergeCells>
  <phoneticPr fontId="2" type="noConversion"/>
  <hyperlinks>
    <hyperlink ref="H14:L14" location="建卡!O88" display="点击这里返回“建卡”标签。" xr:uid="{A33BAB3E-D893-4905-A5AE-DACAAFC08DB2}"/>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5BA7A-4CA8-425C-B310-2A3B8F73DBE6}">
  <sheetPr codeName="Sheet7"/>
  <dimension ref="A1:V5"/>
  <sheetViews>
    <sheetView showGridLines="0" showRowColHeaders="0" workbookViewId="0">
      <selection activeCell="H7" sqref="H7"/>
    </sheetView>
  </sheetViews>
  <sheetFormatPr defaultColWidth="4" defaultRowHeight="17.399999999999999" x14ac:dyDescent="0.25"/>
  <cols>
    <col min="1" max="1" width="4" style="9"/>
    <col min="2" max="16384" width="4" style="10"/>
  </cols>
  <sheetData>
    <row r="1" spans="2:22" ht="18" thickBot="1" x14ac:dyDescent="0.3"/>
    <row r="2" spans="2:22" x14ac:dyDescent="0.25">
      <c r="B2" s="613" t="s">
        <v>365</v>
      </c>
      <c r="C2" s="614"/>
      <c r="D2" s="614"/>
      <c r="E2" s="614"/>
      <c r="F2" s="614"/>
      <c r="G2" s="614"/>
      <c r="H2" s="614"/>
      <c r="I2" s="614"/>
      <c r="J2" s="614"/>
      <c r="K2" s="614"/>
      <c r="L2" s="614"/>
      <c r="M2" s="614"/>
      <c r="N2" s="614"/>
      <c r="O2" s="614"/>
      <c r="P2" s="614"/>
      <c r="Q2" s="614"/>
      <c r="R2" s="614"/>
      <c r="S2" s="614"/>
      <c r="T2" s="614"/>
      <c r="U2" s="614"/>
      <c r="V2" s="615"/>
    </row>
    <row r="3" spans="2:22" x14ac:dyDescent="0.25">
      <c r="B3" s="616" t="s">
        <v>366</v>
      </c>
      <c r="C3" s="617"/>
      <c r="D3" s="617"/>
      <c r="E3" s="617" t="s">
        <v>360</v>
      </c>
      <c r="F3" s="617"/>
      <c r="G3" s="617"/>
      <c r="H3" s="617" t="s">
        <v>361</v>
      </c>
      <c r="I3" s="617"/>
      <c r="J3" s="617"/>
      <c r="K3" s="617" t="s">
        <v>367</v>
      </c>
      <c r="L3" s="617"/>
      <c r="M3" s="617"/>
      <c r="N3" s="617" t="s">
        <v>362</v>
      </c>
      <c r="O3" s="617"/>
      <c r="P3" s="617"/>
      <c r="Q3" s="617" t="s">
        <v>364</v>
      </c>
      <c r="R3" s="617"/>
      <c r="S3" s="617"/>
      <c r="T3" s="617" t="s">
        <v>363</v>
      </c>
      <c r="U3" s="617"/>
      <c r="V3" s="618"/>
    </row>
    <row r="4" spans="2:22" x14ac:dyDescent="0.25">
      <c r="B4" s="623">
        <f ca="1">RANDBETWEEN(1,2)</f>
        <v>2</v>
      </c>
      <c r="C4" s="619"/>
      <c r="D4" s="619"/>
      <c r="E4" s="619">
        <f ca="1">RANDBETWEEN(1,4)</f>
        <v>4</v>
      </c>
      <c r="F4" s="619"/>
      <c r="G4" s="619"/>
      <c r="H4" s="619">
        <f ca="1">RANDBETWEEN(1,6)</f>
        <v>4</v>
      </c>
      <c r="I4" s="619"/>
      <c r="J4" s="619"/>
      <c r="K4" s="619">
        <f ca="1">RANDBETWEEN(1,8)</f>
        <v>8</v>
      </c>
      <c r="L4" s="619"/>
      <c r="M4" s="619"/>
      <c r="N4" s="619">
        <f ca="1">RANDBETWEEN(1,10)</f>
        <v>10</v>
      </c>
      <c r="O4" s="619"/>
      <c r="P4" s="619"/>
      <c r="Q4" s="619">
        <f ca="1">RANDBETWEEN(1,20)</f>
        <v>18</v>
      </c>
      <c r="R4" s="619"/>
      <c r="S4" s="619"/>
      <c r="T4" s="619">
        <f ca="1">RANDBETWEEN(0,99)</f>
        <v>83</v>
      </c>
      <c r="U4" s="619"/>
      <c r="V4" s="620"/>
    </row>
    <row r="5" spans="2:22" ht="18" thickBot="1" x14ac:dyDescent="0.3">
      <c r="B5" s="624"/>
      <c r="C5" s="621"/>
      <c r="D5" s="621"/>
      <c r="E5" s="621"/>
      <c r="F5" s="621"/>
      <c r="G5" s="621"/>
      <c r="H5" s="621"/>
      <c r="I5" s="621"/>
      <c r="J5" s="621"/>
      <c r="K5" s="621"/>
      <c r="L5" s="621"/>
      <c r="M5" s="621"/>
      <c r="N5" s="621"/>
      <c r="O5" s="621"/>
      <c r="P5" s="621"/>
      <c r="Q5" s="621"/>
      <c r="R5" s="621"/>
      <c r="S5" s="621"/>
      <c r="T5" s="621"/>
      <c r="U5" s="621"/>
      <c r="V5" s="622"/>
    </row>
  </sheetData>
  <sheetProtection sheet="1" objects="1" scenarios="1"/>
  <mergeCells count="15">
    <mergeCell ref="T4:V5"/>
    <mergeCell ref="B4:D5"/>
    <mergeCell ref="E4:G5"/>
    <mergeCell ref="H4:J5"/>
    <mergeCell ref="K4:M5"/>
    <mergeCell ref="N4:P5"/>
    <mergeCell ref="Q4:S5"/>
    <mergeCell ref="B2:V2"/>
    <mergeCell ref="B3:D3"/>
    <mergeCell ref="E3:G3"/>
    <mergeCell ref="H3:J3"/>
    <mergeCell ref="K3:M3"/>
    <mergeCell ref="N3:P3"/>
    <mergeCell ref="Q3:S3"/>
    <mergeCell ref="T3:V3"/>
  </mergeCells>
  <phoneticPr fontId="2"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1]!F5F5F5">
                <anchor moveWithCells="1" sizeWithCells="1">
                  <from>
                    <xdr:col>9</xdr:col>
                    <xdr:colOff>228600</xdr:colOff>
                    <xdr:row>6</xdr:row>
                    <xdr:rowOff>0</xdr:rowOff>
                  </from>
                  <to>
                    <xdr:col>13</xdr:col>
                    <xdr:colOff>83820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E103"/>
  <sheetViews>
    <sheetView showGridLines="0" workbookViewId="0">
      <selection activeCell="B11" sqref="B11"/>
    </sheetView>
  </sheetViews>
  <sheetFormatPr defaultColWidth="9" defaultRowHeight="17.399999999999999" x14ac:dyDescent="0.25"/>
  <cols>
    <col min="1" max="1" width="9" style="11"/>
    <col min="2" max="2" width="43.77734375" style="116" customWidth="1"/>
    <col min="3" max="3" width="9" style="11"/>
    <col min="4" max="4" width="16" style="11" customWidth="1"/>
    <col min="5" max="5" width="16.109375" style="11" customWidth="1"/>
    <col min="6" max="16384" width="9" style="11"/>
  </cols>
  <sheetData>
    <row r="1" spans="2:5" x14ac:dyDescent="0.25">
      <c r="B1" s="113" t="str">
        <f>人物卡!D3&amp;"，"&amp;人物卡!D5&amp;"，"&amp;人物卡!K6&amp;"，"&amp;人物卡!D6&amp;"岁"</f>
        <v>西利欧·达克赛宁，间谍，男，27岁</v>
      </c>
      <c r="C1" s="11" t="s">
        <v>698</v>
      </c>
    </row>
    <row r="2" spans="2:5" x14ac:dyDescent="0.25">
      <c r="B2" s="114" t="str">
        <f>"出身"&amp;人物卡!D8&amp;"，现居"&amp;人物卡!D7</f>
        <v xml:space="preserve">出身 ，现居 </v>
      </c>
      <c r="D2" s="11" t="s">
        <v>699</v>
      </c>
    </row>
    <row r="3" spans="2:5" x14ac:dyDescent="0.25">
      <c r="B3" s="114" t="str">
        <f>"时代: "&amp;建卡!E8&amp;"   玩家: "&amp;人物卡!D4</f>
        <v>时代: 现代   玩家: 杨三</v>
      </c>
    </row>
    <row r="4" spans="2:5" x14ac:dyDescent="0.25">
      <c r="B4" s="114" t="str">
        <f>"STR "&amp;STR&amp;"  CON "&amp;CON&amp;"  SIZ "&amp;SIZ&amp;"  DEX "&amp;DEX</f>
        <v>STR 55  CON 50  SIZ 40  DEX 70</v>
      </c>
      <c r="D4" s="11" t="s">
        <v>416</v>
      </c>
    </row>
    <row r="5" spans="2:5" ht="18" thickBot="1" x14ac:dyDescent="0.3">
      <c r="B5" s="114" t="str">
        <f>"APP "&amp;APP&amp;"  INT "&amp;INT&amp;"  POW "&amp;POW&amp;"  EDU "&amp;EDU</f>
        <v>APP 75  INT 75  POW 55  EDU 75</v>
      </c>
    </row>
    <row r="6" spans="2:5" x14ac:dyDescent="0.25">
      <c r="B6" s="114" t="str">
        <f>"DB:"&amp;DB&amp;"  Build:"&amp;Build&amp;"  MOV:"&amp;MOV&amp;"  Luck:"&amp;Luck</f>
        <v>DB:0  Build:0  MOV:9  Luck:70</v>
      </c>
      <c r="D6" s="625" t="s">
        <v>700</v>
      </c>
      <c r="E6" s="626"/>
    </row>
    <row r="7" spans="2:5" ht="18" thickBot="1" x14ac:dyDescent="0.3">
      <c r="B7" s="114" t="str">
        <f>"HP:"&amp;HP&amp;"/"&amp;HPmax&amp;"   San:"&amp;SAN&amp;"/"&amp;SANmax&amp;"   MP:"&amp;MP&amp;"/"&amp;MPmax</f>
        <v>HP:9/9   San:55/99   MP:11/11</v>
      </c>
      <c r="D7" s="627" t="s">
        <v>701</v>
      </c>
      <c r="E7" s="628"/>
    </row>
    <row r="8" spans="2:5" x14ac:dyDescent="0.25">
      <c r="B8" s="114" t="s">
        <v>427</v>
      </c>
    </row>
    <row r="9" spans="2:5" x14ac:dyDescent="0.25">
      <c r="B9" s="114" t="str">
        <f>"斗殴 "&amp;人物卡!K40&amp;"% ("&amp;人物卡!M40&amp;"/"&amp;人物卡!O40&amp;"), 伤害"&amp;人物卡!R40</f>
        <v>斗殴 25% (12/5), 伤害1D3+DB</v>
      </c>
    </row>
    <row r="10" spans="2:5" x14ac:dyDescent="0.25">
      <c r="B10" s="114" t="str">
        <f>IF(ISBLANK(weapon),"",weapon&amp;" "&amp;人物卡!K41&amp;"% ("&amp;人物卡!M41&amp;"/"&amp;人物卡!O41&amp;"), 伤害"&amp;人物卡!R41)</f>
        <v>匕首 25% (12/5), 伤害1D4+2+DB</v>
      </c>
    </row>
    <row r="11" spans="2:5" x14ac:dyDescent="0.25">
      <c r="B11" s="114" t="str">
        <f>IF(ISBLANK(人物卡!B42),"",人物卡!B42&amp;" "&amp;人物卡!K42&amp;"% ("&amp;人物卡!M42&amp;"/"&amp;人物卡!O42&amp;"), 伤害"&amp;人物卡!R42)</f>
        <v/>
      </c>
    </row>
    <row r="12" spans="2:5" x14ac:dyDescent="0.25">
      <c r="B12" s="114" t="str">
        <f>IF(ISBLANK(人物卡!B43),"",人物卡!B43&amp;" "&amp;人物卡!K43&amp;"% ("&amp;人物卡!M43&amp;"/"&amp;人物卡!O43&amp;"), 伤害"&amp;人物卡!R43)</f>
        <v/>
      </c>
    </row>
    <row r="13" spans="2:5" x14ac:dyDescent="0.25">
      <c r="B13" s="114" t="str">
        <f>IF(ISBLANK(人物卡!B44),"",人物卡!B44&amp;" "&amp;人物卡!K44&amp;"% ("&amp;人物卡!M44&amp;"/"&amp;人物卡!O44&amp;"), 伤害"&amp;人物卡!R44)</f>
        <v/>
      </c>
    </row>
    <row r="14" spans="2:5" x14ac:dyDescent="0.25">
      <c r="B14" s="114" t="str">
        <f>IF(D7&lt;&gt;"输出到技能一栏","闪避 "&amp;Dodge&amp;"% ("&amp;人物卡!AP43&amp;"/"&amp;人物卡!AP44&amp;")","")</f>
        <v>闪避 75% (37/15)</v>
      </c>
    </row>
    <row r="15" spans="2:5" x14ac:dyDescent="0.25">
      <c r="B15" s="114" t="s">
        <v>428</v>
      </c>
    </row>
    <row r="16" spans="2:5" x14ac:dyDescent="0.25">
      <c r="B16" s="114" t="str">
        <f>IF(AND(ISBLANK(建卡!I48),ISBLANK(建卡!J48),ISBLANK(人物卡!J16)),"",人物卡!C16&amp;" "&amp;人物卡!L16)</f>
        <v/>
      </c>
    </row>
    <row r="17" spans="2:2" x14ac:dyDescent="0.25">
      <c r="B17" s="114" t="str">
        <f>IF(AND(ISBLANK(建卡!I49),ISBLANK(建卡!J49),ISBLANK(人物卡!J17)),"",人物卡!C17&amp;" "&amp;人物卡!L17)</f>
        <v/>
      </c>
    </row>
    <row r="18" spans="2:2" x14ac:dyDescent="0.25">
      <c r="B18" s="114" t="str">
        <f>IF(AND(ISBLANK(建卡!I50),ISBLANK(建卡!J50),ISBLANK(人物卡!J18)),"",人物卡!C18&amp;" "&amp;人物卡!L18)</f>
        <v/>
      </c>
    </row>
    <row r="19" spans="2:2" x14ac:dyDescent="0.25">
      <c r="B19" s="114" t="str">
        <f>IF(AND(ISBLANK(建卡!I51),ISBLANK(建卡!J51),ISBLANK(人物卡!J19)),"",人物卡!C19&amp;" "&amp;人物卡!L19)</f>
        <v/>
      </c>
    </row>
    <row r="20" spans="2:2" x14ac:dyDescent="0.25">
      <c r="B20" s="114" t="str">
        <f>IF(AND(ISBLANK(建卡!I52),ISBLANK(建卡!J52),ISBLANK(人物卡!J20)),"",人物卡!C20&amp;" "&amp;人物卡!L20)</f>
        <v/>
      </c>
    </row>
    <row r="21" spans="2:2" x14ac:dyDescent="0.25">
      <c r="B21" s="114" t="str">
        <f>IF(AND(ISBLANK(建卡!I53),ISBLANK(建卡!J53),ISBLANK(人物卡!J21)),"",人物卡!C21&amp;" "&amp;人物卡!L21)</f>
        <v/>
      </c>
    </row>
    <row r="22" spans="2:2" x14ac:dyDescent="0.25">
      <c r="B22" s="114" t="str">
        <f>IF(AND(ISBLANK(建卡!I54),ISBLANK(建卡!J54),ISBLANK(人物卡!J22)),"",人物卡!C22&amp;" "&amp;人物卡!L22)</f>
        <v/>
      </c>
    </row>
    <row r="23" spans="2:2" x14ac:dyDescent="0.25">
      <c r="B23" s="114" t="str">
        <f>IF(AND(ISBLANK(建卡!I55),ISBLANK(建卡!J55),ISBLANK(人物卡!J23)),"",人物卡!C23&amp;" "&amp;人物卡!L23)</f>
        <v/>
      </c>
    </row>
    <row r="24" spans="2:2" x14ac:dyDescent="0.25">
      <c r="B24" s="114" t="str">
        <f>IF(AND(ISBLANK(建卡!I56),ISBLANK(建卡!J56),ISBLANK(人物卡!J24)),"",人物卡!C24&amp;" "&amp;人物卡!L24)</f>
        <v/>
      </c>
    </row>
    <row r="25" spans="2:2" x14ac:dyDescent="0.25">
      <c r="B25" s="114" t="str">
        <f>IF(AND(ISBLANK(建卡!I57),ISBLANK(建卡!J57),ISBLANK(人物卡!J25)),"",人物卡!C25&amp;" "&amp;人物卡!L25)</f>
        <v/>
      </c>
    </row>
    <row r="26" spans="2:2" x14ac:dyDescent="0.25">
      <c r="B26" s="114" t="str">
        <f>IF(AND(ISBLANK(建卡!I58),ISBLANK(建卡!J58),ISBLANK(人物卡!J26)),"",人物卡!C26&amp;" "&amp;人物卡!L26)</f>
        <v>虔诚 20% (10/4)</v>
      </c>
    </row>
    <row r="27" spans="2:2" x14ac:dyDescent="0.25">
      <c r="B27" s="114" t="str">
        <f>IF(AND(ISBLANK(建卡!I59),ISBLANK(建卡!J59),ISBLANK(人物卡!J27)),"",人物卡!C27&amp;" "&amp;人物卡!L27)</f>
        <v>克苏鲁神话 0% (0/0)</v>
      </c>
    </row>
    <row r="28" spans="2:2" x14ac:dyDescent="0.25">
      <c r="B28" s="114" t="str">
        <f>IF(AND(ISBLANK(建卡!I60),ISBLANK(建卡!J60),ISBLANK(人物卡!J28)),"",人物卡!C28&amp;" "&amp;人物卡!L28)</f>
        <v>乔装 50% (25/10)</v>
      </c>
    </row>
    <row r="29" spans="2:2" x14ac:dyDescent="0.25">
      <c r="B29" s="114" t="str">
        <f>IF(D7&lt;&gt;"输出到战斗一栏","闪避 "&amp;Dodge&amp;"% ("&amp;人物卡!AP43&amp;"/"&amp;人物卡!AP44&amp;")","")</f>
        <v/>
      </c>
    </row>
    <row r="30" spans="2:2" x14ac:dyDescent="0.25">
      <c r="B30" s="114" t="str">
        <f>IF(AND(ISBLANK(建卡!I62),ISBLANK(建卡!J62),ISBLANK(人物卡!J30)),"",人物卡!C30&amp;" "&amp;人物卡!L30)</f>
        <v/>
      </c>
    </row>
    <row r="31" spans="2:2" x14ac:dyDescent="0.25">
      <c r="B31" s="114" t="str">
        <f>IF(AND(ISBLANK(建卡!I63),ISBLANK(建卡!J63),ISBLANK(人物卡!J31)),"",人物卡!C31&amp;" "&amp;人物卡!L31)</f>
        <v/>
      </c>
    </row>
    <row r="32" spans="2:2" x14ac:dyDescent="0.25">
      <c r="B32" s="114" t="str">
        <f>IF(AND(ISBLANK(建卡!I64),ISBLANK(建卡!J64),ISBLANK(人物卡!J32)),"",人物卡!C32&amp;" "&amp;人物卡!L32)</f>
        <v/>
      </c>
    </row>
    <row r="33" spans="2:2" x14ac:dyDescent="0.25">
      <c r="B33" s="114" t="str">
        <f>IF(AND(ISBLANK(建卡!I65),ISBLANK(建卡!J65),ISBLANK(人物卡!J33)),"",人物卡!C33&amp;" "&amp;人物卡!L33)</f>
        <v>话术 60% (30/12)</v>
      </c>
    </row>
    <row r="34" spans="2:2" x14ac:dyDescent="0.25">
      <c r="B34" s="114" t="str">
        <f>IF(AND(ISBLANK(建卡!I66),ISBLANK(建卡!J66),ISBLANK(人物卡!J34)),"",人物卡!C34&amp;" "&amp;人物卡!L34)</f>
        <v/>
      </c>
    </row>
    <row r="35" spans="2:2" x14ac:dyDescent="0.25">
      <c r="B35" s="114" t="str">
        <f>IF(AND(ISBLANK(建卡!I67),ISBLANK(建卡!J67),ISBLANK(人物卡!J35)),"",人物卡!C35&amp;" "&amp;人物卡!L35)</f>
        <v/>
      </c>
    </row>
    <row r="36" spans="2:2" x14ac:dyDescent="0.25">
      <c r="B36" s="114" t="str">
        <f>IF(AND(ISBLANK(建卡!I68),ISBLANK(建卡!J68),ISBLANK(人物卡!J36)),"",人物卡!C36&amp;" "&amp;人物卡!L36)</f>
        <v/>
      </c>
    </row>
    <row r="37" spans="2:2" x14ac:dyDescent="0.25">
      <c r="B37" s="114" t="str">
        <f>IF(AND(ISBLANK(建卡!I69),ISBLANK(建卡!J69),ISBLANK(人物卡!X16)),"",人物卡!Q16&amp;" "&amp;人物卡!Z16)</f>
        <v/>
      </c>
    </row>
    <row r="38" spans="2:2" x14ac:dyDescent="0.25">
      <c r="B38" s="114" t="str">
        <f>IF(AND(ISBLANK(建卡!I70),ISBLANK(建卡!J70),ISBLANK(人物卡!X17)),"",人物卡!Q17&amp;" "&amp;人物卡!Z17)</f>
        <v/>
      </c>
    </row>
    <row r="39" spans="2:2" x14ac:dyDescent="0.25">
      <c r="B39" s="114" t="str">
        <f>IF(AND(ISBLANK(建卡!I71),ISBLANK(建卡!J71),ISBLANK(人物卡!X18)),"",人物卡!Q18&amp;" "&amp;人物卡!Z18)</f>
        <v/>
      </c>
    </row>
    <row r="40" spans="2:2" x14ac:dyDescent="0.25">
      <c r="B40" s="114" t="str">
        <f>IF(AND(ISBLANK(建卡!I72),ISBLANK(建卡!J72),ISBLANK(人物卡!X19)),"",人物卡!Q19&amp;" "&amp;人物卡!Z19)</f>
        <v/>
      </c>
    </row>
    <row r="41" spans="2:2" x14ac:dyDescent="0.25">
      <c r="B41" s="114" t="str">
        <f>IF(AND(ISBLANK(建卡!I73),ISBLANK(建卡!J73),ISBLANK(人物卡!X20)),"",人物卡!Q20&amp;" "&amp;人物卡!Z20)</f>
        <v/>
      </c>
    </row>
    <row r="42" spans="2:2" x14ac:dyDescent="0.25">
      <c r="B42" s="114" t="str">
        <f>IF(AND(ISBLANK(建卡!I74),ISBLANK(建卡!J74),ISBLANK(人物卡!X21)),"",人物卡!Q21&amp;" "&amp;人物卡!Z21)</f>
        <v/>
      </c>
    </row>
    <row r="43" spans="2:2" x14ac:dyDescent="0.25">
      <c r="B43" s="114" t="str">
        <f>IF(AND(ISBLANK(建卡!I75),ISBLANK(建卡!J75),ISBLANK(人物卡!X22)),"",人物卡!Q22&amp;" "&amp;人物卡!Z22)</f>
        <v/>
      </c>
    </row>
    <row r="44" spans="2:2" x14ac:dyDescent="0.25">
      <c r="B44" s="114" t="str">
        <f>IF(AND(ISBLANK(建卡!I76),ISBLANK(建卡!J76),ISBLANK(人物卡!X23)),"",人物卡!Q23&amp;" "&amp;人物卡!Z23)</f>
        <v/>
      </c>
    </row>
    <row r="45" spans="2:2" x14ac:dyDescent="0.25">
      <c r="B45" s="114" t="str">
        <f>IF(AND(ISBLANK(建卡!I77),ISBLANK(建卡!J77),ISBLANK(人物卡!X24)),"",人物卡!Q24&amp;" "&amp;人物卡!Z24)</f>
        <v/>
      </c>
    </row>
    <row r="46" spans="2:2" x14ac:dyDescent="0.25">
      <c r="B46" s="114" t="str">
        <f>IF(AND(ISBLANK(建卡!I78),ISBLANK(建卡!J78),ISBLANK(人物卡!X25)),"",人物卡!Q25&amp;" "&amp;人物卡!Z25)</f>
        <v/>
      </c>
    </row>
    <row r="47" spans="2:2" x14ac:dyDescent="0.25">
      <c r="B47" s="114" t="str">
        <f>IF(AND(ISBLANK(建卡!I79),ISBLANK(建卡!J79),ISBLANK(人物卡!X26)),"",人物卡!Q26&amp;" "&amp;人物卡!Z26)</f>
        <v/>
      </c>
    </row>
    <row r="48" spans="2:2" x14ac:dyDescent="0.25">
      <c r="B48" s="114" t="str">
        <f>IF(AND(ISBLANK(建卡!Z48),ISBLANK(建卡!AB48),ISBLANK(人物卡!X27)),"",人物卡!Q27&amp;" "&amp;人物卡!Z27)</f>
        <v/>
      </c>
    </row>
    <row r="49" spans="2:2" x14ac:dyDescent="0.25">
      <c r="B49" s="114" t="str">
        <f>IF(AND(ISBLANK(建卡!Z49),ISBLANK(建卡!AB49),ISBLANK(人物卡!X28)),"",人物卡!Q28&amp;" "&amp;人物卡!Z28)</f>
        <v/>
      </c>
    </row>
    <row r="50" spans="2:2" x14ac:dyDescent="0.25">
      <c r="B50" s="114" t="str">
        <f>IF(AND(ISBLANK(建卡!Z50),ISBLANK(建卡!AB50),ISBLANK(人物卡!X29)),"",人物卡!Q29&amp;" "&amp;人物卡!Z29)</f>
        <v>聆听 70% (35/14)</v>
      </c>
    </row>
    <row r="51" spans="2:2" x14ac:dyDescent="0.25">
      <c r="B51" s="114" t="str">
        <f>IF(AND(ISBLANK(建卡!Z51),ISBLANK(建卡!AB51),ISBLANK(人物卡!X30)),"",人物卡!Q30&amp;" "&amp;人物卡!Z30)</f>
        <v/>
      </c>
    </row>
    <row r="52" spans="2:2" x14ac:dyDescent="0.25">
      <c r="B52" s="114" t="str">
        <f>IF(AND(ISBLANK(建卡!Z52),ISBLANK(建卡!AB52),ISBLANK(人物卡!X31)),"",人物卡!Q31&amp;" "&amp;人物卡!Z31)</f>
        <v/>
      </c>
    </row>
    <row r="53" spans="2:2" x14ac:dyDescent="0.25">
      <c r="B53" s="114" t="str">
        <f>IF(AND(ISBLANK(建卡!Z53),ISBLANK(建卡!AB53),ISBLANK(人物卡!X32)),"",人物卡!Q32&amp;" "&amp;人物卡!Z32)</f>
        <v/>
      </c>
    </row>
    <row r="54" spans="2:2" x14ac:dyDescent="0.25">
      <c r="B54" s="114" t="str">
        <f>IF(AND(ISBLANK(建卡!Z54),ISBLANK(建卡!AB54),ISBLANK(人物卡!X33)),"",人物卡!Q33&amp;" "&amp;人物卡!Z33)</f>
        <v/>
      </c>
    </row>
    <row r="55" spans="2:2" x14ac:dyDescent="0.25">
      <c r="B55" s="114" t="str">
        <f>IF(AND(ISBLANK(建卡!Z55),ISBLANK(建卡!AB55),ISBLANK(人物卡!X34)),"",人物卡!Q34&amp;" "&amp;人物卡!Z34)</f>
        <v/>
      </c>
    </row>
    <row r="56" spans="2:2" x14ac:dyDescent="0.25">
      <c r="B56" s="114" t="str">
        <f>IF(AND(ISBLANK(建卡!Z56),ISBLANK(建卡!AB56),ISBLANK(人物卡!X35)),"",人物卡!Q35&amp;" "&amp;人物卡!Z35)</f>
        <v/>
      </c>
    </row>
    <row r="57" spans="2:2" x14ac:dyDescent="0.25">
      <c r="B57" s="114" t="str">
        <f>IF(AND(ISBLANK(建卡!Z57),ISBLANK(建卡!AB57),ISBLANK(人物卡!X36)),"",人物卡!Q36&amp;" "&amp;人物卡!Z36)</f>
        <v/>
      </c>
    </row>
    <row r="58" spans="2:2" x14ac:dyDescent="0.25">
      <c r="B58" s="114" t="str">
        <f>IF(AND(ISBLANK(建卡!Z58),ISBLANK(建卡!AB58),ISBLANK(人物卡!AL16)),"",人物卡!AE16&amp;" "&amp;人物卡!AN16)</f>
        <v/>
      </c>
    </row>
    <row r="59" spans="2:2" x14ac:dyDescent="0.25">
      <c r="B59" s="114" t="str">
        <f>IF(AND(ISBLANK(建卡!Z59),ISBLANK(建卡!AB59),ISBLANK(人物卡!AL17)),"",人物卡!AE17&amp;" "&amp;人物卡!AN17)</f>
        <v/>
      </c>
    </row>
    <row r="60" spans="2:2" x14ac:dyDescent="0.25">
      <c r="B60" s="114" t="str">
        <f>IF(AND(ISBLANK(建卡!Z60),ISBLANK(建卡!AB60),ISBLANK(人物卡!AL18)),"",人物卡!AE18&amp;" "&amp;人物卡!AN18)</f>
        <v/>
      </c>
    </row>
    <row r="61" spans="2:2" x14ac:dyDescent="0.25">
      <c r="B61" s="114" t="str">
        <f>IF(AND(ISBLANK(建卡!Z61),ISBLANK(建卡!AB61),ISBLANK(人物卡!AL19)),"",人物卡!AE19&amp;" "&amp;人物卡!AN19)</f>
        <v>心理学 60% (30/12)</v>
      </c>
    </row>
    <row r="62" spans="2:2" x14ac:dyDescent="0.25">
      <c r="B62" s="114" t="str">
        <f>IF(AND(ISBLANK(建卡!Z62),ISBLANK(建卡!AB62),ISBLANK(人物卡!AL20)),"",人物卡!AE20&amp;" "&amp;人物卡!AN20)</f>
        <v/>
      </c>
    </row>
    <row r="63" spans="2:2" x14ac:dyDescent="0.25">
      <c r="B63" s="114" t="str">
        <f>IF(AND(ISBLANK(建卡!Z63),ISBLANK(建卡!AB63),ISBLANK(人物卡!AL21)),"",人物卡!AE21&amp;" "&amp;人物卡!AN21)</f>
        <v/>
      </c>
    </row>
    <row r="64" spans="2:2" x14ac:dyDescent="0.25">
      <c r="B64" s="114" t="str">
        <f>IF(AND(ISBLANK(建卡!Z64),ISBLANK(建卡!AB64),ISBLANK(人物卡!AL22)),"",人物卡!AE22&amp;" "&amp;人物卡!AN22)</f>
        <v/>
      </c>
    </row>
    <row r="65" spans="2:2" x14ac:dyDescent="0.25">
      <c r="B65" s="114" t="str">
        <f>IF(AND(ISBLANK(建卡!Z65),ISBLANK(建卡!AB65),ISBLANK(人物卡!AL23)),"",人物卡!AE23&amp;" "&amp;人物卡!AN23)</f>
        <v/>
      </c>
    </row>
    <row r="66" spans="2:2" x14ac:dyDescent="0.25">
      <c r="B66" s="114" t="str">
        <f>IF(AND(ISBLANK(建卡!Z66),ISBLANK(建卡!AB66),ISBLANK(人物卡!AL24)),"",人物卡!AE24&amp;" "&amp;人物卡!AN24)</f>
        <v>妙手 85% (42/17)</v>
      </c>
    </row>
    <row r="67" spans="2:2" x14ac:dyDescent="0.25">
      <c r="B67" s="114" t="str">
        <f>IF(AND(ISBLANK(建卡!Z67),ISBLANK(建卡!AB67),ISBLANK(人物卡!AL25)),"",人物卡!AE25&amp;" "&amp;人物卡!AN25)</f>
        <v>侦查 50% (25/10)</v>
      </c>
    </row>
    <row r="68" spans="2:2" x14ac:dyDescent="0.25">
      <c r="B68" s="114" t="str">
        <f>IF(AND(ISBLANK(建卡!Z68),ISBLANK(建卡!AB68),ISBLANK(人物卡!AL26)),"",人物卡!AE26&amp;" "&amp;人物卡!AN26)</f>
        <v>潜行 80% (40/16)</v>
      </c>
    </row>
    <row r="69" spans="2:2" x14ac:dyDescent="0.25">
      <c r="B69" s="114" t="str">
        <f>IF(AND(ISBLANK(建卡!Z69),ISBLANK(建卡!AB69),ISBLANK(人物卡!AL27)),"",人物卡!AE27&amp;" "&amp;人物卡!AN27)</f>
        <v/>
      </c>
    </row>
    <row r="70" spans="2:2" x14ac:dyDescent="0.25">
      <c r="B70" s="114" t="str">
        <f>IF(AND(ISBLANK(建卡!Z70),ISBLANK(建卡!AB70),ISBLANK(人物卡!AL28)),"",人物卡!AE28&amp;" "&amp;人物卡!AN28)</f>
        <v/>
      </c>
    </row>
    <row r="71" spans="2:2" x14ac:dyDescent="0.25">
      <c r="B71" s="114" t="str">
        <f>IF(AND(ISBLANK(建卡!Z71),ISBLANK(建卡!AB71),ISBLANK(人物卡!AL29)),"",人物卡!AE29&amp;" "&amp;人物卡!AN29)</f>
        <v/>
      </c>
    </row>
    <row r="72" spans="2:2" x14ac:dyDescent="0.25">
      <c r="B72" s="114" t="str">
        <f>IF(AND(ISBLANK(建卡!Z72),ISBLANK(建卡!AB72),ISBLANK(人物卡!AL30)),"",人物卡!AE30&amp;" "&amp;人物卡!AN30)</f>
        <v>追踪 40% (20/8)</v>
      </c>
    </row>
    <row r="73" spans="2:2" x14ac:dyDescent="0.25">
      <c r="B73" s="114" t="str">
        <f>IF(AND(ISBLANK(建卡!Z73),ISBLANK(建卡!AB73),ISBLANK(人物卡!AL31)),"",人物卡!AE31&amp;" "&amp;人物卡!AN31)</f>
        <v/>
      </c>
    </row>
    <row r="74" spans="2:2" x14ac:dyDescent="0.25">
      <c r="B74" s="114" t="str">
        <f>IF(AND(ISBLANK(建卡!Z74),ISBLANK(建卡!AB74),ISBLANK(人物卡!AL32)),"",人物卡!AE32&amp;" "&amp;人物卡!AN32)</f>
        <v/>
      </c>
    </row>
    <row r="75" spans="2:2" x14ac:dyDescent="0.25">
      <c r="B75" s="114" t="str">
        <f>IF(AND(ISBLANK(建卡!Z75),ISBLANK(建卡!AB75),ISBLANK(人物卡!AL33)),"",人物卡!AE33&amp;" "&amp;人物卡!AN33)</f>
        <v/>
      </c>
    </row>
    <row r="76" spans="2:2" x14ac:dyDescent="0.25">
      <c r="B76" s="114" t="str">
        <f>IF(AND(ISBLANK(建卡!Z76),ISBLANK(建卡!AB76),ISBLANK(人物卡!AL34)),"",人物卡!AE34&amp;" "&amp;人物卡!AN34)</f>
        <v/>
      </c>
    </row>
    <row r="77" spans="2:2" x14ac:dyDescent="0.25">
      <c r="B77" s="114" t="str">
        <f>IF(AND(ISBLANK(建卡!Z77),ISBLANK(建卡!AB77),ISBLANK(人物卡!AL35)),"",人物卡!AE35&amp;" "&amp;人物卡!AN35)</f>
        <v/>
      </c>
    </row>
    <row r="78" spans="2:2" x14ac:dyDescent="0.25">
      <c r="B78" s="114" t="str">
        <f>IF(AND(ISBLANK(建卡!Z78),ISBLANK(建卡!AB78),ISBLANK(人物卡!AL36)),"",人物卡!AE36&amp;" "&amp;人物卡!AN36)</f>
        <v/>
      </c>
    </row>
    <row r="79" spans="2:2" x14ac:dyDescent="0.25">
      <c r="B79" s="114" t="s">
        <v>429</v>
      </c>
    </row>
    <row r="80" spans="2:2" x14ac:dyDescent="0.25">
      <c r="B80" s="114" t="str">
        <f>人物卡!S48&amp;"："&amp;IF(ISBLANK(人物卡!W48),"（空）",人物卡!W48)</f>
        <v>形象描述：平平无奇的小个子。</v>
      </c>
    </row>
    <row r="81" spans="2:2" x14ac:dyDescent="0.25">
      <c r="B81" s="114" t="str">
        <f>人物卡!S50&amp;"："&amp;IF(ISBLANK(人物卡!W50),"（空）",人物卡!W50)</f>
        <v>思想与信念：我首先是西里欧·达克赛宁，然后才是太阳信徒。</v>
      </c>
    </row>
    <row r="82" spans="2:2" x14ac:dyDescent="0.25">
      <c r="B82" s="114" t="str">
        <f>人物卡!S52&amp;"："&amp;IF(ISBLANK(人物卡!W52),"（空）",人物卡!W52)</f>
        <v>重要之人：自己的间谍导师迈尔斯。因为异端倾向被处决，检举者正是西利欧。</v>
      </c>
    </row>
    <row r="83" spans="2:2" x14ac:dyDescent="0.25">
      <c r="B83" s="114" t="str">
        <f>人物卡!S54&amp;"："&amp;IF(ISBLANK(人物卡!W54),"（空）",人物卡!W54)</f>
        <v>意义非凡之地：无</v>
      </c>
    </row>
    <row r="84" spans="2:2" x14ac:dyDescent="0.25">
      <c r="B84" s="114" t="str">
        <f>人物卡!S56&amp;"："&amp;IF(ISBLANK(人物卡!W56),"（空）",人物卡!W56)</f>
        <v>宝贵之物：迈尔斯赠送的雕花匕首</v>
      </c>
    </row>
    <row r="85" spans="2:2" x14ac:dyDescent="0.25">
      <c r="B85" s="114" t="str">
        <f>人物卡!S58&amp;"："&amp;IF(ISBLANK(人物卡!W58),"（空）",人物卡!W58)</f>
        <v>特质：多疑</v>
      </c>
    </row>
    <row r="86" spans="2:2" x14ac:dyDescent="0.25">
      <c r="B86" s="114" t="str">
        <f>人物卡!S60&amp;"："&amp;IF(ISBLANK(人物卡!W60),"（空）",人物卡!W60)</f>
        <v>伤口和疤痕：无</v>
      </c>
    </row>
    <row r="87" spans="2:2" x14ac:dyDescent="0.25">
      <c r="B87" s="114" t="str">
        <f>人物卡!S62&amp;"："&amp;IF(ISBLANK(人物卡!W62),"（空）",人物卡!W62)</f>
        <v>恐惧症和狂躁症：（空）</v>
      </c>
    </row>
    <row r="88" spans="2:2" x14ac:dyDescent="0.25">
      <c r="B88" s="114" t="str">
        <f>IF(ISBLANK(人物卡!S64),"（没有填写更多背景）",人物卡!S64)</f>
        <v>西里欧乃服务于伟大太阳的诸多灵魂之一。作为一名优秀的间谍，他潜伏于太阳神所留下的阴影里，运用伪装与诡计来对抗肮脏的亵渎者。西里欧曾证明过他对太阳神的忠诚：在他作为预备间谍接受训练时，前任间谍导师迈尔斯与西里欧私交甚笃，不料一天他撕下了虔诚者的伪装，竟试图用亵渎者的异端邪说来污染西里欧的灵魂！意识到这一点的西里欧立马检举了迈尔斯，迈尔斯从此再也没有出现。然而，有些流言声称西里欧对太阳并没有表现出祂应得的尊重——这自然只是对西里欧嫉妒不已的卑鄙小人的恶毒诽谤而已。</v>
      </c>
    </row>
    <row r="89" spans="2:2" x14ac:dyDescent="0.25">
      <c r="B89" s="114" t="s">
        <v>702</v>
      </c>
    </row>
    <row r="90" spans="2:2" x14ac:dyDescent="0.25">
      <c r="B90" s="114" t="str">
        <f>IF(ISBLANK(人物卡!B56),"（没有携带任何物品）",人物卡!B56)</f>
        <v>3把匕首</v>
      </c>
    </row>
    <row r="91" spans="2:2" x14ac:dyDescent="0.25">
      <c r="B91" s="114" t="str">
        <f>IF(ISBLANK(人物卡!B57),"",人物卡!B57)</f>
        <v>抓钩 长绳 滑轮组</v>
      </c>
    </row>
    <row r="92" spans="2:2" x14ac:dyDescent="0.25">
      <c r="B92" s="114" t="str">
        <f>IF(ISBLANK(人物卡!B58),"",人物卡!B58)</f>
        <v>深色斗篷与手套</v>
      </c>
    </row>
    <row r="93" spans="2:2" x14ac:dyDescent="0.25">
      <c r="B93" s="114" t="str">
        <f>IF(ISBLANK(人物卡!B59),"",人物卡!B59)</f>
        <v>火石，火炬</v>
      </c>
    </row>
    <row r="94" spans="2:2" x14ac:dyDescent="0.25">
      <c r="B94" s="114" t="str">
        <f>IF(ISBLANK(人物卡!B60),"",人物卡!B60)</f>
        <v>干粮，清水</v>
      </c>
    </row>
    <row r="95" spans="2:2" x14ac:dyDescent="0.25">
      <c r="B95" s="114" t="str">
        <f>IF(ISBLANK(人物卡!B61),"",人物卡!B61)</f>
        <v>迈尔斯的雕花匕首</v>
      </c>
    </row>
    <row r="96" spans="2:2" x14ac:dyDescent="0.25">
      <c r="B96" s="114" t="str">
        <f>IF(ISBLANK(人物卡!B62),"",人物卡!B62)</f>
        <v/>
      </c>
    </row>
    <row r="97" spans="2:2" x14ac:dyDescent="0.25">
      <c r="B97" s="114" t="str">
        <f>IF(ISBLANK(人物卡!B63),"",人物卡!B63)</f>
        <v/>
      </c>
    </row>
    <row r="98" spans="2:2" x14ac:dyDescent="0.25">
      <c r="B98" s="114" t="str">
        <f>IF(ISBLANK(人物卡!B64),"",人物卡!B64)</f>
        <v/>
      </c>
    </row>
    <row r="99" spans="2:2" x14ac:dyDescent="0.25">
      <c r="B99" s="114" t="s">
        <v>426</v>
      </c>
    </row>
    <row r="100" spans="2:2" x14ac:dyDescent="0.25">
      <c r="B100" s="114" t="str">
        <f>"消费水平："&amp;IF(ISBLANK(人物卡!N49),"(未填写)",人物卡!N49)</f>
        <v>消费水平：(未填写)</v>
      </c>
    </row>
    <row r="101" spans="2:2" x14ac:dyDescent="0.25">
      <c r="B101" s="114" t="str">
        <f>"现金："&amp;IF(ISBLANK(人物卡!D49),"(未填写)",人物卡!D49)</f>
        <v>现金：(未填写)</v>
      </c>
    </row>
    <row r="102" spans="2:2" x14ac:dyDescent="0.25">
      <c r="B102" s="114" t="str">
        <f>IF(ISBLANK(人物卡!B50),"（未设定其他资产）",人物卡!B50)</f>
        <v>（未设定其他资产）</v>
      </c>
    </row>
    <row r="103" spans="2:2" ht="18" thickBot="1" x14ac:dyDescent="0.3">
      <c r="B103" s="115" t="s">
        <v>430</v>
      </c>
    </row>
  </sheetData>
  <sheetProtection autoFilter="0"/>
  <autoFilter ref="B1:B103" xr:uid="{00000000-0009-0000-0000-000006000000}"/>
  <mergeCells count="2">
    <mergeCell ref="D6:E6"/>
    <mergeCell ref="D7:E7"/>
  </mergeCells>
  <phoneticPr fontId="2" type="noConversion"/>
  <dataValidations count="1">
    <dataValidation type="list" allowBlank="1" showErrorMessage="1" sqref="D7:E7" xr:uid="{7090457D-27D8-4CCC-800E-098798AC3303}">
      <formula1>"输出到战斗一栏,输出到技能一栏,同时输出到战斗和技能栏"</formula1>
    </dataValidation>
  </dataValidation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32"/>
  <sheetViews>
    <sheetView showGridLines="0" workbookViewId="0">
      <selection activeCell="E28" sqref="E28:F31"/>
    </sheetView>
  </sheetViews>
  <sheetFormatPr defaultColWidth="9.88671875" defaultRowHeight="17.399999999999999" x14ac:dyDescent="0.25"/>
  <cols>
    <col min="1" max="1" width="9.44140625" style="83" bestFit="1" customWidth="1"/>
    <col min="2" max="2" width="8" style="90" bestFit="1" customWidth="1"/>
    <col min="3" max="3" width="6.21875" style="90" bestFit="1" customWidth="1"/>
    <col min="4" max="4" width="9.88671875" style="83"/>
    <col min="5" max="5" width="11.21875" style="83" bestFit="1" customWidth="1"/>
    <col min="6" max="6" width="10.33203125" style="83" bestFit="1" customWidth="1"/>
    <col min="7" max="16384" width="9.88671875" style="83"/>
  </cols>
  <sheetData>
    <row r="1" spans="1:10" x14ac:dyDescent="0.25">
      <c r="A1" s="82" t="s">
        <v>355</v>
      </c>
      <c r="B1" s="82" t="s">
        <v>356</v>
      </c>
      <c r="C1" s="82" t="s">
        <v>395</v>
      </c>
      <c r="E1" s="82" t="s">
        <v>3</v>
      </c>
      <c r="F1" s="82" t="s">
        <v>396</v>
      </c>
      <c r="J1" s="84"/>
    </row>
    <row r="2" spans="1:10" x14ac:dyDescent="0.25">
      <c r="A2" s="85">
        <v>0</v>
      </c>
      <c r="B2" s="86" t="s">
        <v>357</v>
      </c>
      <c r="C2" s="85" t="s">
        <v>357</v>
      </c>
      <c r="E2" s="86">
        <v>0</v>
      </c>
      <c r="F2" s="85">
        <v>0</v>
      </c>
    </row>
    <row r="3" spans="1:10" x14ac:dyDescent="0.25">
      <c r="A3" s="87">
        <v>2</v>
      </c>
      <c r="B3" s="87">
        <v>-2</v>
      </c>
      <c r="C3" s="87">
        <v>-2</v>
      </c>
      <c r="E3" s="87">
        <v>40</v>
      </c>
      <c r="F3" s="87">
        <v>1</v>
      </c>
    </row>
    <row r="4" spans="1:10" x14ac:dyDescent="0.25">
      <c r="A4" s="85">
        <v>65</v>
      </c>
      <c r="B4" s="86">
        <v>-1</v>
      </c>
      <c r="C4" s="85">
        <v>-1</v>
      </c>
      <c r="E4" s="86">
        <v>50</v>
      </c>
      <c r="F4" s="85">
        <v>2</v>
      </c>
    </row>
    <row r="5" spans="1:10" x14ac:dyDescent="0.25">
      <c r="A5" s="87">
        <v>85</v>
      </c>
      <c r="B5" s="87">
        <v>0</v>
      </c>
      <c r="C5" s="87">
        <v>0</v>
      </c>
      <c r="E5" s="87">
        <v>60</v>
      </c>
      <c r="F5" s="87">
        <v>3</v>
      </c>
    </row>
    <row r="6" spans="1:10" x14ac:dyDescent="0.25">
      <c r="A6" s="85">
        <v>125</v>
      </c>
      <c r="B6" s="86" t="s">
        <v>368</v>
      </c>
      <c r="C6" s="85">
        <v>1</v>
      </c>
      <c r="E6" s="86">
        <v>70</v>
      </c>
      <c r="F6" s="85">
        <v>4</v>
      </c>
    </row>
    <row r="7" spans="1:10" x14ac:dyDescent="0.25">
      <c r="A7" s="87">
        <v>165</v>
      </c>
      <c r="B7" s="87" t="s">
        <v>369</v>
      </c>
      <c r="C7" s="87">
        <v>2</v>
      </c>
      <c r="E7" s="87">
        <v>80</v>
      </c>
      <c r="F7" s="87">
        <v>5</v>
      </c>
    </row>
    <row r="8" spans="1:10" x14ac:dyDescent="0.25">
      <c r="A8" s="85">
        <v>205</v>
      </c>
      <c r="B8" s="86" t="s">
        <v>370</v>
      </c>
      <c r="C8" s="85">
        <v>3</v>
      </c>
    </row>
    <row r="9" spans="1:10" x14ac:dyDescent="0.25">
      <c r="A9" s="87">
        <v>285</v>
      </c>
      <c r="B9" s="87" t="s">
        <v>371</v>
      </c>
      <c r="C9" s="87">
        <v>4</v>
      </c>
      <c r="E9" s="629" t="s">
        <v>399</v>
      </c>
      <c r="F9" s="630"/>
    </row>
    <row r="10" spans="1:10" x14ac:dyDescent="0.25">
      <c r="A10" s="85">
        <v>365</v>
      </c>
      <c r="B10" s="86" t="s">
        <v>372</v>
      </c>
      <c r="C10" s="85">
        <v>5</v>
      </c>
      <c r="E10" s="86" t="s">
        <v>397</v>
      </c>
      <c r="F10" s="85">
        <f>STR</f>
        <v>55</v>
      </c>
    </row>
    <row r="11" spans="1:10" x14ac:dyDescent="0.25">
      <c r="A11" s="87">
        <v>445</v>
      </c>
      <c r="B11" s="87" t="s">
        <v>373</v>
      </c>
      <c r="C11" s="87">
        <v>6</v>
      </c>
      <c r="E11" s="87" t="s">
        <v>398</v>
      </c>
      <c r="F11" s="87">
        <f>DEX</f>
        <v>70</v>
      </c>
    </row>
    <row r="12" spans="1:10" x14ac:dyDescent="0.25">
      <c r="A12" s="85">
        <v>525</v>
      </c>
      <c r="B12" s="86" t="s">
        <v>374</v>
      </c>
      <c r="C12" s="85">
        <v>7</v>
      </c>
      <c r="E12" s="86" t="s">
        <v>404</v>
      </c>
      <c r="F12" s="85">
        <f>SIZ</f>
        <v>40</v>
      </c>
    </row>
    <row r="13" spans="1:10" x14ac:dyDescent="0.25">
      <c r="A13" s="87">
        <v>605</v>
      </c>
      <c r="B13" s="87" t="s">
        <v>375</v>
      </c>
      <c r="C13" s="87">
        <v>8</v>
      </c>
      <c r="E13" s="87" t="s">
        <v>405</v>
      </c>
      <c r="F13" s="87" t="b">
        <f>IF(STR&gt;SIZ,TRUE())</f>
        <v>1</v>
      </c>
    </row>
    <row r="14" spans="1:10" x14ac:dyDescent="0.25">
      <c r="A14" s="85">
        <v>685</v>
      </c>
      <c r="B14" s="86" t="s">
        <v>376</v>
      </c>
      <c r="C14" s="85">
        <v>9</v>
      </c>
      <c r="E14" s="86" t="s">
        <v>406</v>
      </c>
      <c r="F14" s="85" t="b">
        <f>IF(DEX&gt;SIZ,TRUE())</f>
        <v>1</v>
      </c>
    </row>
    <row r="15" spans="1:10" x14ac:dyDescent="0.25">
      <c r="A15" s="87">
        <v>765</v>
      </c>
      <c r="B15" s="87" t="s">
        <v>377</v>
      </c>
      <c r="C15" s="87">
        <v>10</v>
      </c>
      <c r="E15" s="87" t="s">
        <v>407</v>
      </c>
      <c r="F15" s="87" t="b">
        <f>IF(STR&lt;SIZ,TRUE())</f>
        <v>0</v>
      </c>
    </row>
    <row r="16" spans="1:10" x14ac:dyDescent="0.25">
      <c r="A16" s="85">
        <v>845</v>
      </c>
      <c r="B16" s="86" t="s">
        <v>378</v>
      </c>
      <c r="C16" s="85">
        <v>11</v>
      </c>
      <c r="E16" s="86" t="s">
        <v>408</v>
      </c>
      <c r="F16" s="85" t="b">
        <f>IF(DEX&lt;SIZ,TRUE())</f>
        <v>0</v>
      </c>
    </row>
    <row r="17" spans="1:6" x14ac:dyDescent="0.25">
      <c r="A17" s="87">
        <v>925</v>
      </c>
      <c r="B17" s="87" t="s">
        <v>379</v>
      </c>
      <c r="C17" s="87">
        <v>12</v>
      </c>
      <c r="E17" s="87" t="s">
        <v>450</v>
      </c>
      <c r="F17" s="87" t="b">
        <f>AND(F13:F14)</f>
        <v>1</v>
      </c>
    </row>
    <row r="18" spans="1:6" x14ac:dyDescent="0.25">
      <c r="A18" s="85">
        <v>1005</v>
      </c>
      <c r="B18" s="86" t="s">
        <v>380</v>
      </c>
      <c r="C18" s="85">
        <v>13</v>
      </c>
      <c r="E18" s="86" t="s">
        <v>451</v>
      </c>
      <c r="F18" s="85" t="b">
        <f>AND(F15:F16)</f>
        <v>0</v>
      </c>
    </row>
    <row r="19" spans="1:6" x14ac:dyDescent="0.25">
      <c r="A19" s="87">
        <v>1085</v>
      </c>
      <c r="B19" s="87" t="s">
        <v>381</v>
      </c>
      <c r="C19" s="87">
        <v>14</v>
      </c>
      <c r="E19" s="87" t="s">
        <v>452</v>
      </c>
      <c r="F19" s="87" t="b">
        <f>AND(NOT(F17),NOT(F18))</f>
        <v>0</v>
      </c>
    </row>
    <row r="20" spans="1:6" x14ac:dyDescent="0.25">
      <c r="A20" s="85">
        <v>1165</v>
      </c>
      <c r="B20" s="86" t="s">
        <v>382</v>
      </c>
      <c r="C20" s="85">
        <v>15</v>
      </c>
      <c r="E20" s="86" t="s">
        <v>453</v>
      </c>
      <c r="F20" s="85">
        <f>IF(F17,9,0)</f>
        <v>9</v>
      </c>
    </row>
    <row r="21" spans="1:6" x14ac:dyDescent="0.25">
      <c r="A21" s="87">
        <v>1245</v>
      </c>
      <c r="B21" s="87" t="s">
        <v>383</v>
      </c>
      <c r="C21" s="87">
        <v>16</v>
      </c>
      <c r="E21" s="87" t="s">
        <v>454</v>
      </c>
      <c r="F21" s="87">
        <f>IF(F18,7,0)</f>
        <v>0</v>
      </c>
    </row>
    <row r="22" spans="1:6" x14ac:dyDescent="0.25">
      <c r="A22" s="85">
        <v>1325</v>
      </c>
      <c r="B22" s="86" t="s">
        <v>384</v>
      </c>
      <c r="C22" s="85">
        <v>17</v>
      </c>
      <c r="E22" s="86" t="s">
        <v>409</v>
      </c>
      <c r="F22" s="85">
        <f>IF(F19,8,0)</f>
        <v>0</v>
      </c>
    </row>
    <row r="23" spans="1:6" x14ac:dyDescent="0.25">
      <c r="A23" s="87">
        <v>1405</v>
      </c>
      <c r="B23" s="87" t="s">
        <v>385</v>
      </c>
      <c r="C23" s="87">
        <v>18</v>
      </c>
      <c r="E23" s="87" t="s">
        <v>410</v>
      </c>
      <c r="F23" s="87">
        <f>MAX(F20:F22)</f>
        <v>9</v>
      </c>
    </row>
    <row r="24" spans="1:6" x14ac:dyDescent="0.25">
      <c r="A24" s="85">
        <v>1485</v>
      </c>
      <c r="B24" s="86" t="s">
        <v>386</v>
      </c>
      <c r="C24" s="85">
        <v>19</v>
      </c>
    </row>
    <row r="25" spans="1:6" x14ac:dyDescent="0.25">
      <c r="A25" s="87">
        <v>1565</v>
      </c>
      <c r="B25" s="87" t="s">
        <v>387</v>
      </c>
      <c r="C25" s="87">
        <v>20</v>
      </c>
      <c r="E25" s="629" t="s">
        <v>32</v>
      </c>
      <c r="F25" s="630"/>
    </row>
    <row r="26" spans="1:6" x14ac:dyDescent="0.25">
      <c r="A26" s="85">
        <v>1645</v>
      </c>
      <c r="B26" s="86" t="s">
        <v>388</v>
      </c>
      <c r="C26" s="85">
        <v>21</v>
      </c>
      <c r="E26" s="88" t="s">
        <v>593</v>
      </c>
      <c r="F26" s="87">
        <f>(EDU+STR)*2</f>
        <v>260</v>
      </c>
    </row>
    <row r="27" spans="1:6" x14ac:dyDescent="0.25">
      <c r="A27" s="87">
        <v>1725</v>
      </c>
      <c r="B27" s="87" t="s">
        <v>389</v>
      </c>
      <c r="C27" s="87">
        <v>22</v>
      </c>
      <c r="E27" s="89" t="s">
        <v>592</v>
      </c>
      <c r="F27" s="85">
        <f>(EDU+DEX)*2</f>
        <v>290</v>
      </c>
    </row>
    <row r="28" spans="1:6" x14ac:dyDescent="0.25">
      <c r="A28" s="85">
        <v>1805</v>
      </c>
      <c r="B28" s="86" t="s">
        <v>390</v>
      </c>
      <c r="C28" s="85">
        <v>23</v>
      </c>
      <c r="E28" s="88" t="s">
        <v>83</v>
      </c>
      <c r="F28" s="87">
        <f>(EDU+APP)*2</f>
        <v>300</v>
      </c>
    </row>
    <row r="29" spans="1:6" x14ac:dyDescent="0.25">
      <c r="A29" s="87">
        <v>1885</v>
      </c>
      <c r="B29" s="87" t="s">
        <v>391</v>
      </c>
      <c r="C29" s="87">
        <v>24</v>
      </c>
      <c r="E29" s="89" t="s">
        <v>594</v>
      </c>
      <c r="F29" s="85">
        <f>(EDU+POW)*2</f>
        <v>260</v>
      </c>
    </row>
    <row r="30" spans="1:6" x14ac:dyDescent="0.25">
      <c r="A30" s="85">
        <v>1965</v>
      </c>
      <c r="B30" s="86" t="s">
        <v>392</v>
      </c>
      <c r="C30" s="85">
        <v>25</v>
      </c>
      <c r="E30" s="88" t="s">
        <v>720</v>
      </c>
      <c r="F30" s="87">
        <f>(EDU+INT)*2</f>
        <v>300</v>
      </c>
    </row>
    <row r="31" spans="1:6" x14ac:dyDescent="0.25">
      <c r="A31" s="87">
        <v>2045</v>
      </c>
      <c r="B31" s="87" t="s">
        <v>393</v>
      </c>
      <c r="C31" s="87">
        <v>26</v>
      </c>
      <c r="E31" s="89" t="s">
        <v>81</v>
      </c>
      <c r="F31" s="85">
        <f>EDU*4</f>
        <v>300</v>
      </c>
    </row>
    <row r="32" spans="1:6" x14ac:dyDescent="0.25">
      <c r="A32" s="85">
        <v>2125</v>
      </c>
      <c r="B32" s="86" t="s">
        <v>394</v>
      </c>
      <c r="C32" s="85">
        <v>27</v>
      </c>
    </row>
  </sheetData>
  <sheetProtection algorithmName="SHA-512" hashValue="iLHcrcUE7IQd/RYa9+CAUi6eb4h9CQtbO2prjTTID014siiQ4cQEBGnKhBPzS98WkryC5bt1LLvbEkh3d9b0WQ==" saltValue="wh8FASWWnDjKRUdzJA4NHg==" spinCount="100000" sheet="1" objects="1" scenarios="1" selectLockedCells="1" selectUnlockedCells="1"/>
  <mergeCells count="2">
    <mergeCell ref="E9:F9"/>
    <mergeCell ref="E25:F25"/>
  </mergeCells>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26</vt:i4>
      </vt:variant>
    </vt:vector>
  </HeadingPairs>
  <TitlesOfParts>
    <vt:vector size="34" baseType="lpstr">
      <vt:lpstr>建卡</vt:lpstr>
      <vt:lpstr>人物卡</vt:lpstr>
      <vt:lpstr>技能专攻</vt:lpstr>
      <vt:lpstr>职业列表</vt:lpstr>
      <vt:lpstr>资产对照表</vt:lpstr>
      <vt:lpstr>掷骰</vt:lpstr>
      <vt:lpstr>txt输出</vt:lpstr>
      <vt:lpstr>附表</vt:lpstr>
      <vt:lpstr>Age</vt:lpstr>
      <vt:lpstr>APP</vt:lpstr>
      <vt:lpstr>Assets</vt:lpstr>
      <vt:lpstr>backstory</vt:lpstr>
      <vt:lpstr>Build</vt:lpstr>
      <vt:lpstr>CON</vt:lpstr>
      <vt:lpstr>DB</vt:lpstr>
      <vt:lpstr>DEX</vt:lpstr>
      <vt:lpstr>Dodge</vt:lpstr>
      <vt:lpstr>EDU</vt:lpstr>
      <vt:lpstr>Gear</vt:lpstr>
      <vt:lpstr>HP</vt:lpstr>
      <vt:lpstr>HPmax</vt:lpstr>
      <vt:lpstr>INT</vt:lpstr>
      <vt:lpstr>Luck</vt:lpstr>
      <vt:lpstr>MOV</vt:lpstr>
      <vt:lpstr>MOV_main</vt:lpstr>
      <vt:lpstr>MP</vt:lpstr>
      <vt:lpstr>MPmax</vt:lpstr>
      <vt:lpstr>OccNo</vt:lpstr>
      <vt:lpstr>POW</vt:lpstr>
      <vt:lpstr>SAN</vt:lpstr>
      <vt:lpstr>SANmax</vt:lpstr>
      <vt:lpstr>SIZ</vt:lpstr>
      <vt:lpstr>STR</vt:lpstr>
      <vt:lpstr>weapon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COC7th 半自动计算人物卡</dc:title>
  <dc:creator>秋叶EXODUS</dc:creator>
  <cp:lastModifiedBy>yang</cp:lastModifiedBy>
  <cp:lastPrinted>2018-09-19T08:55:20Z</cp:lastPrinted>
  <dcterms:created xsi:type="dcterms:W3CDTF">2015-07-06T01:28:16Z</dcterms:created>
  <dcterms:modified xsi:type="dcterms:W3CDTF">2019-04-25T15:25:49Z</dcterms:modified>
</cp:coreProperties>
</file>